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p" sheetId="1" state="visible" r:id="rId3"/>
    <sheet name="Quotes" sheetId="2" state="visible" r:id="rId4"/>
    <sheet name="Compare" sheetId="3" state="visible" r:id="rId5"/>
    <sheet name="Land" sheetId="4" state="visible" r:id="rId6"/>
    <sheet name="Final" sheetId="5" state="visible" r:id="rId7"/>
    <sheet name="Lists" sheetId="6" state="hidden" r:id="rId8"/>
  </sheets>
  <definedNames>
    <definedName function="false" hidden="true" localSheetId="1" name="_xlnm._FilterDatabase" vbProcedure="false">Quotes!$A$4:$AD$6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GST on tour packages is usually 5% of the package value.</t>
        </r>
      </text>
    </comment>
    <comment ref="B13" authorId="0">
      <text>
        <r>
          <rPr>
            <sz val="10"/>
            <rFont val="Arial"/>
            <family val="2"/>
          </rPr>
          <t xml:space="preserve">TCS on overseas tour packages: 2% up to ₹10 lakh per person per year, 20% above (from 1 Apr 2025). Check the client's position.</t>
        </r>
      </text>
    </comment>
  </commentList>
</comments>
</file>

<file path=xl/sharedStrings.xml><?xml version="1.0" encoding="utf-8"?>
<sst xmlns="http://schemas.openxmlformats.org/spreadsheetml/2006/main" count="225" uniqueCount="176">
  <si>
    <t xml:space="preserve">Trip Costing — Client name - Destination</t>
  </si>
  <si>
    <t xml:space="preserve">Yellow cells with blue text are inputs. Everything else is calculated — don't type over it.</t>
  </si>
  <si>
    <t xml:space="preserve">Exchange rates</t>
  </si>
  <si>
    <t xml:space="preserve">Trip name</t>
  </si>
  <si>
    <t xml:space="preserve">Client name - Destination</t>
  </si>
  <si>
    <t xml:space="preserve">Currency</t>
  </si>
  <si>
    <t xml:space="preserve">₹ per 1 unit</t>
  </si>
  <si>
    <t xml:space="preserve">Note</t>
  </si>
  <si>
    <t xml:space="preserve">Client</t>
  </si>
  <si>
    <t xml:space="preserve">INR</t>
  </si>
  <si>
    <t xml:space="preserve">Destination</t>
  </si>
  <si>
    <t xml:space="preserve">USD</t>
  </si>
  <si>
    <t xml:space="preserve">Bank / supplier ROE used for this trip</t>
  </si>
  <si>
    <t xml:space="preserve">Travel dates</t>
  </si>
  <si>
    <t xml:space="preserve">EUR</t>
  </si>
  <si>
    <t xml:space="preserve">No. of pax</t>
  </si>
  <si>
    <t xml:space="preserve">GBP</t>
  </si>
  <si>
    <t xml:space="preserve">Rooms required</t>
  </si>
  <si>
    <t xml:space="preserve">1 DBL</t>
  </si>
  <si>
    <t xml:space="preserve">CHF</t>
  </si>
  <si>
    <t xml:space="preserve">Costing currency</t>
  </si>
  <si>
    <t xml:space="preserve">AED</t>
  </si>
  <si>
    <t xml:space="preserve">Default markup %</t>
  </si>
  <si>
    <t xml:space="preserve">LKR</t>
  </si>
  <si>
    <t xml:space="preserve">GST %</t>
  </si>
  <si>
    <t xml:space="preserve">THB</t>
  </si>
  <si>
    <t xml:space="preserve">TCS %</t>
  </si>
  <si>
    <t xml:space="preserve">SGD</t>
  </si>
  <si>
    <t xml:space="preserve">Notes</t>
  </si>
  <si>
    <t xml:space="preserve">JPY</t>
  </si>
  <si>
    <t xml:space="preserve">How this workbook works</t>
  </si>
  <si>
    <t xml:space="preserve">1. Fill in the trip details and today's exchange rates (₹ per 1 unit) above.</t>
  </si>
  <si>
    <t xml:space="preserve">2. Quotes tab: one row per price you receive — hotel, room, meal, source, currency and the amount for ONE room for the WHOLE stay (incl. taxes).</t>
  </si>
  <si>
    <t xml:space="preserve">3. The sheet converts everything to the costing currency, flags ⭐ the cheapest source for each hotel/room/meal and shows the difference vs Booking.com.</t>
  </si>
  <si>
    <t xml:space="preserve">4. Compare tab: every hotel/room with all sources side by side; the best price is highlighted green.</t>
  </si>
  <si>
    <t xml:space="preserve">5. Land tab: transfers, tours, passes, trains, flights, visa — amount + 'Total' or 'Per pax'.</t>
  </si>
  <si>
    <t xml:space="preserve">6. Put Y in the Pkg A / B / C columns for the rows each option uses. The Final tab adds them up with markup, GST and TCS, in the costing currency and in ₹.</t>
  </si>
  <si>
    <t xml:space="preserve">Hotel quotes</t>
  </si>
  <si>
    <t xml:space="preserve">Amount = price for ONE room for the WHOLE stay, incl. taxes, in the currency quoted. Grey columns are calculated.</t>
  </si>
  <si>
    <t xml:space="preserve">Red amount = exchange rate missing on Trip tab</t>
  </si>
  <si>
    <t xml:space="preserve">#</t>
  </si>
  <si>
    <t xml:space="preserve">City</t>
  </si>
  <si>
    <t xml:space="preserve">Check-in</t>
  </si>
  <si>
    <t xml:space="preserve">Nights</t>
  </si>
  <si>
    <t xml:space="preserve">Hotel</t>
  </si>
  <si>
    <t xml:space="preserve">Stars</t>
  </si>
  <si>
    <t xml:space="preserve">Room type</t>
  </si>
  <si>
    <t xml:space="preserve">Meal</t>
  </si>
  <si>
    <t xml:space="preserve">Rooms</t>
  </si>
  <si>
    <t xml:space="preserve">Source</t>
  </si>
  <si>
    <t xml:space="preserve">Amount quoted
(1 room, whole stay)</t>
  </si>
  <si>
    <t xml:space="preserve">Cost / room
(costing ccy)</t>
  </si>
  <si>
    <t xml:space="preserve">Cost / room / night</t>
  </si>
  <si>
    <t xml:space="preserve">Total cost
(all rooms)</t>
  </si>
  <si>
    <t xml:space="preserve">Free cancel until</t>
  </si>
  <si>
    <t xml:space="preserve">Days left</t>
  </si>
  <si>
    <t xml:space="preserve">Status</t>
  </si>
  <si>
    <t xml:space="preserve">Booking ref</t>
  </si>
  <si>
    <t xml:space="preserve">Label
(Base / Upg)</t>
  </si>
  <si>
    <t xml:space="preserve">Markup %
(blank = default)</t>
  </si>
  <si>
    <t xml:space="preserve">Sell / room</t>
  </si>
  <si>
    <t xml:space="preserve">Sell total
(all rooms)</t>
  </si>
  <si>
    <t xml:space="preserve">Best price?</t>
  </si>
  <si>
    <t xml:space="preserve">Booking.com
price</t>
  </si>
  <si>
    <t xml:space="preserve">Saving vs
Booking.com</t>
  </si>
  <si>
    <t xml:space="preserve">Pkg A</t>
  </si>
  <si>
    <t xml:space="preserve">Pkg B</t>
  </si>
  <si>
    <t xml:space="preserve">Pkg C</t>
  </si>
  <si>
    <t xml:space="preserve">Example: Kandy</t>
  </si>
  <si>
    <t xml:space="preserve">Example Hotel</t>
  </si>
  <si>
    <t xml:space="preserve">Deluxe Room</t>
  </si>
  <si>
    <t xml:space="preserve">BB</t>
  </si>
  <si>
    <t xml:space="preserve">Ottila</t>
  </si>
  <si>
    <t xml:space="preserve">Quote</t>
  </si>
  <si>
    <t xml:space="preserve">Base</t>
  </si>
  <si>
    <t xml:space="preserve">Y</t>
  </si>
  <si>
    <t xml:space="preserve">EXAMPLE ROW – overwrite or delete</t>
  </si>
  <si>
    <t xml:space="preserve">Booking.com</t>
  </si>
  <si>
    <t xml:space="preserve">EXAMPLE ROW – Booking.com price to compare</t>
  </si>
  <si>
    <t xml:space="preserve">Price comparison — cost per room for the whole stay (costing currency)</t>
  </si>
  <si>
    <t xml:space="preserve">Built from the Quotes tab. Green = cheapest. Add a row here (copy the one above) if you add a new hotel/room on Quotes.</t>
  </si>
  <si>
    <t xml:space="preserve">Best price</t>
  </si>
  <si>
    <t xml:space="preserve">Best source</t>
  </si>
  <si>
    <t xml:space="preserve">Booking.com vs best</t>
  </si>
  <si>
    <t xml:space="preserve">Land, transport &amp; other services</t>
  </si>
  <si>
    <t xml:space="preserve">Basis 'Total' = amount is for the whole group; 'Per pax' = amount × Pax/Qty.</t>
  </si>
  <si>
    <t xml:space="preserve">Date</t>
  </si>
  <si>
    <t xml:space="preserve">Service</t>
  </si>
  <si>
    <t xml:space="preserve">Type</t>
  </si>
  <si>
    <t xml:space="preserve">Amount</t>
  </si>
  <si>
    <t xml:space="preserve">Basis</t>
  </si>
  <si>
    <t xml:space="preserve">Pax / Qty</t>
  </si>
  <si>
    <t xml:space="preserve">Total cost
(costing ccy)</t>
  </si>
  <si>
    <t xml:space="preserve">Sell total</t>
  </si>
  <si>
    <t xml:space="preserve">Example: Airport to hotel private transfer</t>
  </si>
  <si>
    <t xml:space="preserve">Transfer</t>
  </si>
  <si>
    <t xml:space="preserve">DMC</t>
  </si>
  <si>
    <t xml:space="preserve">Total</t>
  </si>
  <si>
    <t xml:space="preserve">EXAMPLE ROW</t>
  </si>
  <si>
    <t xml:space="preserve">Final costing</t>
  </si>
  <si>
    <t xml:space="preserve">Adds up every Quotes / Land row marked Y for each package. Change the package names and pax freely.</t>
  </si>
  <si>
    <t xml:space="preserve">How it's calculated</t>
  </si>
  <si>
    <t xml:space="preserve">Package name</t>
  </si>
  <si>
    <t xml:space="preserve">Per couple (DBL)</t>
  </si>
  <si>
    <t xml:space="preserve">Single (SGL)</t>
  </si>
  <si>
    <t xml:space="preserve">Per couple – upgrade</t>
  </si>
  <si>
    <t xml:space="preserve">Type your own name</t>
  </si>
  <si>
    <t xml:space="preserve">Pax covered by this price</t>
  </si>
  <si>
    <t xml:space="preserve">e.g. 2 for a couple, 1 for a single</t>
  </si>
  <si>
    <t xml:space="preserve">Price basis</t>
  </si>
  <si>
    <t xml:space="preserve">Per room</t>
  </si>
  <si>
    <t xml:space="preserve">Per room = 1 room of each hotel row (per couple / per single quote). All rooms = whole group (uses the Rooms column)</t>
  </si>
  <si>
    <t xml:space="preserve">Hotels — cost to us</t>
  </si>
  <si>
    <t xml:space="preserve">Quotes rows with Y</t>
  </si>
  <si>
    <t xml:space="preserve">Land &amp; other — cost to us</t>
  </si>
  <si>
    <t xml:space="preserve">Land rows with Y</t>
  </si>
  <si>
    <t xml:space="preserve">Total cost to us</t>
  </si>
  <si>
    <t xml:space="preserve">Hotels + land</t>
  </si>
  <si>
    <t xml:space="preserve">Markup</t>
  </si>
  <si>
    <t xml:space="preserve">Sell price − cost (row-level markups)</t>
  </si>
  <si>
    <t xml:space="preserve">Cost to client</t>
  </si>
  <si>
    <t xml:space="preserve">Cost + markup</t>
  </si>
  <si>
    <t xml:space="preserve">GST</t>
  </si>
  <si>
    <t xml:space="preserve">GST % from Trip tab × cost to client</t>
  </si>
  <si>
    <t xml:space="preserve">TCS</t>
  </si>
  <si>
    <t xml:space="preserve">TCS % from Trip tab × (client cost + GST)</t>
  </si>
  <si>
    <t xml:space="preserve">Payable (costing currency)</t>
  </si>
  <si>
    <t xml:space="preserve">Client cost + GST + TCS</t>
  </si>
  <si>
    <t xml:space="preserve">Exchange rate (₹ per 1 unit)</t>
  </si>
  <si>
    <t xml:space="preserve">From Trip tab</t>
  </si>
  <si>
    <t xml:space="preserve">Payable in ₹</t>
  </si>
  <si>
    <t xml:space="preserve">Payable × rate</t>
  </si>
  <si>
    <t xml:space="preserve">Payable in ₹ — rounded up</t>
  </si>
  <si>
    <t xml:space="preserve">Rounded up to the next ₹100</t>
  </si>
  <si>
    <t xml:space="preserve">Per pax in ₹</t>
  </si>
  <si>
    <t xml:space="preserve">Rounded payable ÷ pax covered</t>
  </si>
  <si>
    <t xml:space="preserve">Markup % on cost</t>
  </si>
  <si>
    <t xml:space="preserve">Check: is the margin right?</t>
  </si>
  <si>
    <t xml:space="preserve">Earliest free-cancel deadline</t>
  </si>
  <si>
    <t xml:space="preserve">Book or cancel before this date</t>
  </si>
  <si>
    <t xml:space="preserve">Rows included (hotels / land)</t>
  </si>
  <si>
    <t xml:space="preserve">Quick check nothing is missing</t>
  </si>
  <si>
    <t xml:space="preserve">Costing currency:</t>
  </si>
  <si>
    <t xml:space="preserve">Sources</t>
  </si>
  <si>
    <t xml:space="preserve">LandType</t>
  </si>
  <si>
    <t xml:space="preserve">YN</t>
  </si>
  <si>
    <t xml:space="preserve">RO</t>
  </si>
  <si>
    <t xml:space="preserve">Transport</t>
  </si>
  <si>
    <t xml:space="preserve">TBO</t>
  </si>
  <si>
    <t xml:space="preserve">Requested</t>
  </si>
  <si>
    <t xml:space="preserve">Per pax</t>
  </si>
  <si>
    <t xml:space="preserve">BTR</t>
  </si>
  <si>
    <t xml:space="preserve">HB</t>
  </si>
  <si>
    <t xml:space="preserve">Blocked</t>
  </si>
  <si>
    <t xml:space="preserve">Tour</t>
  </si>
  <si>
    <t xml:space="preserve">Helanka</t>
  </si>
  <si>
    <t xml:space="preserve">FB</t>
  </si>
  <si>
    <t xml:space="preserve">Booked</t>
  </si>
  <si>
    <t xml:space="preserve">Activity</t>
  </si>
  <si>
    <t xml:space="preserve">Direct</t>
  </si>
  <si>
    <t xml:space="preserve">AI</t>
  </si>
  <si>
    <t xml:space="preserve">Unavailable</t>
  </si>
  <si>
    <t xml:space="preserve">Train</t>
  </si>
  <si>
    <t xml:space="preserve">N/A</t>
  </si>
  <si>
    <t xml:space="preserve">Pass</t>
  </si>
  <si>
    <t xml:space="preserve">Guide</t>
  </si>
  <si>
    <t xml:space="preserve">Hotel website</t>
  </si>
  <si>
    <t xml:space="preserve">Flight</t>
  </si>
  <si>
    <t xml:space="preserve">Agoda</t>
  </si>
  <si>
    <t xml:space="preserve">Visa</t>
  </si>
  <si>
    <t xml:space="preserve">Expedia</t>
  </si>
  <si>
    <t xml:space="preserve">Insurance</t>
  </si>
  <si>
    <t xml:space="preserve">Tourfox</t>
  </si>
  <si>
    <t xml:space="preserve">Other</t>
  </si>
  <si>
    <t xml:space="preserve">Weshare</t>
  </si>
  <si>
    <t xml:space="preserve">Online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</si>
</sst>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"/>
    <numFmt numFmtId="166" formatCode="0"/>
    <numFmt numFmtId="167" formatCode="0.0%"/>
    <numFmt numFmtId="168" formatCode="dd\-mmm\-yy"/>
    <numFmt numFmtId="169" formatCode="#,##0.00;[RED]\-#,##0.00;\-"/>
    <numFmt numFmtId="170" formatCode="0;[RED]\-0"/>
    <numFmt numFmtId="171" formatCode="@"/>
    <numFmt numFmtId="172" formatCode="#,##0;[RED]\-#,##0;\-"/>
    <numFmt numFmtId="173" formatCode="#,##0"/>
    <numFmt numFmtId="174" formatCode="\₹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i val="true"/>
      <sz val="9"/>
      <color rgb="FFB71C1C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EF2F7"/>
        <bgColor rgb="FFE8F5E9"/>
      </patternFill>
    </fill>
    <fill>
      <patternFill patternType="solid">
        <fgColor rgb="FFFFF9E0"/>
        <bgColor rgb="FFFFFFFF"/>
      </patternFill>
    </fill>
    <fill>
      <patternFill patternType="solid">
        <fgColor rgb="FF1F3A5F"/>
        <bgColor rgb="FF333399"/>
      </patternFill>
    </fill>
    <fill>
      <patternFill patternType="solid">
        <fgColor rgb="FFE8F5E9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E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F9A9A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fgColor rgb="FFFFF59D"/>
          <bgColor rgb="FF000000"/>
        </patternFill>
      </fill>
    </dxf>
    <dxf>
      <font>
        <name val="Arial"/>
        <charset val="1"/>
        <family val="0"/>
        <b val="1"/>
        <color rgb="FF1B5E20"/>
      </font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FFE0B2"/>
        </patternFill>
      </fill>
    </dxf>
    <dxf>
      <font>
        <name val="Arial"/>
        <charset val="1"/>
        <family val="0"/>
        <b val="1"/>
        <color rgb="FFB71C1C"/>
      </font>
      <fill>
        <patternFill>
          <bgColor rgb="FFEF9A9A"/>
        </patternFill>
      </fill>
    </dxf>
    <dxf>
      <fill>
        <patternFill>
          <bgColor rgb="FFC8E6C9"/>
        </patternFill>
      </fill>
    </dxf>
    <dxf>
      <fill>
        <patternFill>
          <bgColor rgb="FFBBDEFB"/>
        </patternFill>
      </fill>
    </dxf>
    <dxf>
      <font>
        <name val="Arial"/>
        <charset val="1"/>
        <family val="0"/>
        <strike val="1"/>
        <color rgb="FF999999"/>
      </font>
    </dxf>
    <dxf>
      <font>
        <name val="Arial"/>
        <charset val="1"/>
        <family val="0"/>
        <b val="1"/>
      </font>
      <fill>
        <patternFill>
          <bgColor rgb="FFFFF59D"/>
        </patternFill>
      </fill>
    </dxf>
    <dxf>
      <font>
        <name val="Arial"/>
        <charset val="1"/>
        <family val="0"/>
        <b val="1"/>
        <color rgb="FF1B5E2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D7A"/>
      <rgbColor rgb="FFFFCDD2"/>
      <rgbColor rgb="FF808080"/>
      <rgbColor rgb="FF9999FF"/>
      <rgbColor rgb="FFC62828"/>
      <rgbColor rgb="FFFFF9E0"/>
      <rgbColor rgb="FFE8F5E9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8E6C9"/>
      <rgbColor rgb="FFFFF59D"/>
      <rgbColor rgb="FFBBDEFB"/>
      <rgbColor rgb="FFEF9A9A"/>
      <rgbColor rgb="FFCC99FF"/>
      <rgbColor rgb="FFFFE0B2"/>
      <rgbColor rgb="FF3366FF"/>
      <rgbColor rgb="FF33CCCC"/>
      <rgbColor rgb="FF99CC00"/>
      <rgbColor rgb="FFFFCC00"/>
      <rgbColor rgb="FFF9A825"/>
      <rgbColor rgb="FFFF6600"/>
      <rgbColor rgb="FF666666"/>
      <rgbColor rgb="FF999999"/>
      <rgbColor rgb="FF1F3A5F"/>
      <rgbColor rgb="FF43A047"/>
      <rgbColor rgb="FF003300"/>
      <rgbColor rgb="FF333300"/>
      <rgbColor rgb="FFB71C1C"/>
      <rgbColor rgb="FF993366"/>
      <rgbColor rgb="FF333399"/>
      <rgbColor rgb="FF1B5E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D3" s="3" t="s">
        <v>2</v>
      </c>
    </row>
    <row r="4" customFormat="false" ht="15" hidden="false" customHeight="false" outlineLevel="0" collapsed="false">
      <c r="A4" s="4" t="s">
        <v>3</v>
      </c>
      <c r="B4" s="5" t="s">
        <v>4</v>
      </c>
      <c r="D4" s="6" t="s">
        <v>5</v>
      </c>
      <c r="E4" s="6" t="s">
        <v>6</v>
      </c>
      <c r="F4" s="6" t="s">
        <v>7</v>
      </c>
    </row>
    <row r="5" customFormat="false" ht="15" hidden="false" customHeight="false" outlineLevel="0" collapsed="false">
      <c r="A5" s="4" t="s">
        <v>8</v>
      </c>
      <c r="B5" s="5"/>
      <c r="D5" s="7" t="s">
        <v>9</v>
      </c>
      <c r="E5" s="8" t="n">
        <v>1</v>
      </c>
      <c r="F5" s="9"/>
    </row>
    <row r="6" customFormat="false" ht="15" hidden="false" customHeight="false" outlineLevel="0" collapsed="false">
      <c r="A6" s="4" t="s">
        <v>10</v>
      </c>
      <c r="B6" s="5"/>
      <c r="D6" s="7" t="s">
        <v>11</v>
      </c>
      <c r="E6" s="10"/>
      <c r="F6" s="9" t="s">
        <v>12</v>
      </c>
    </row>
    <row r="7" customFormat="false" ht="15" hidden="false" customHeight="false" outlineLevel="0" collapsed="false">
      <c r="A7" s="4" t="s">
        <v>13</v>
      </c>
      <c r="B7" s="5"/>
      <c r="D7" s="7" t="s">
        <v>14</v>
      </c>
      <c r="E7" s="10"/>
      <c r="F7" s="9"/>
    </row>
    <row r="8" customFormat="false" ht="15" hidden="false" customHeight="false" outlineLevel="0" collapsed="false">
      <c r="A8" s="4" t="s">
        <v>15</v>
      </c>
      <c r="B8" s="11" t="n">
        <v>2</v>
      </c>
      <c r="D8" s="7" t="s">
        <v>16</v>
      </c>
      <c r="E8" s="10"/>
      <c r="F8" s="9"/>
    </row>
    <row r="9" customFormat="false" ht="15" hidden="false" customHeight="false" outlineLevel="0" collapsed="false">
      <c r="A9" s="4" t="s">
        <v>17</v>
      </c>
      <c r="B9" s="5" t="s">
        <v>18</v>
      </c>
      <c r="D9" s="7" t="s">
        <v>19</v>
      </c>
      <c r="E9" s="10"/>
      <c r="F9" s="9"/>
    </row>
    <row r="10" customFormat="false" ht="15" hidden="false" customHeight="false" outlineLevel="0" collapsed="false">
      <c r="A10" s="4" t="s">
        <v>20</v>
      </c>
      <c r="B10" s="5" t="s">
        <v>11</v>
      </c>
      <c r="D10" s="7" t="s">
        <v>21</v>
      </c>
      <c r="E10" s="10"/>
      <c r="F10" s="9"/>
    </row>
    <row r="11" customFormat="false" ht="15" hidden="false" customHeight="false" outlineLevel="0" collapsed="false">
      <c r="A11" s="4" t="s">
        <v>22</v>
      </c>
      <c r="B11" s="12" t="n">
        <v>0.15</v>
      </c>
      <c r="D11" s="7" t="s">
        <v>23</v>
      </c>
      <c r="E11" s="10"/>
      <c r="F11" s="9"/>
    </row>
    <row r="12" customFormat="false" ht="15" hidden="false" customHeight="false" outlineLevel="0" collapsed="false">
      <c r="A12" s="4" t="s">
        <v>24</v>
      </c>
      <c r="B12" s="12" t="n">
        <v>0.05</v>
      </c>
      <c r="D12" s="7" t="s">
        <v>25</v>
      </c>
      <c r="E12" s="10"/>
      <c r="F12" s="9"/>
    </row>
    <row r="13" customFormat="false" ht="15" hidden="false" customHeight="false" outlineLevel="0" collapsed="false">
      <c r="A13" s="4" t="s">
        <v>26</v>
      </c>
      <c r="B13" s="12" t="n">
        <v>0.02</v>
      </c>
      <c r="D13" s="7" t="s">
        <v>27</v>
      </c>
      <c r="E13" s="10"/>
      <c r="F13" s="9"/>
    </row>
    <row r="14" customFormat="false" ht="15" hidden="false" customHeight="false" outlineLevel="0" collapsed="false">
      <c r="A14" s="4" t="s">
        <v>28</v>
      </c>
      <c r="B14" s="5"/>
      <c r="D14" s="7" t="s">
        <v>29</v>
      </c>
      <c r="E14" s="10"/>
      <c r="F14" s="9"/>
    </row>
    <row r="17" customFormat="false" ht="15" hidden="false" customHeight="false" outlineLevel="0" collapsed="false">
      <c r="A17" s="3" t="s">
        <v>30</v>
      </c>
    </row>
    <row r="18" customFormat="false" ht="27.75" hidden="false" customHeight="true" outlineLevel="0" collapsed="false">
      <c r="A18" s="13" t="s">
        <v>31</v>
      </c>
      <c r="B18" s="13"/>
      <c r="C18" s="13"/>
      <c r="D18" s="13"/>
      <c r="E18" s="13"/>
      <c r="F18" s="13"/>
    </row>
    <row r="19" customFormat="false" ht="27.75" hidden="false" customHeight="true" outlineLevel="0" collapsed="false">
      <c r="A19" s="13" t="s">
        <v>32</v>
      </c>
      <c r="B19" s="13"/>
      <c r="C19" s="13"/>
      <c r="D19" s="13"/>
      <c r="E19" s="13"/>
      <c r="F19" s="13"/>
    </row>
    <row r="20" customFormat="false" ht="27.75" hidden="false" customHeight="true" outlineLevel="0" collapsed="false">
      <c r="A20" s="13" t="s">
        <v>33</v>
      </c>
      <c r="B20" s="13"/>
      <c r="C20" s="13"/>
      <c r="D20" s="13"/>
      <c r="E20" s="13"/>
      <c r="F20" s="13"/>
    </row>
    <row r="21" customFormat="false" ht="27.75" hidden="false" customHeight="true" outlineLevel="0" collapsed="false">
      <c r="A21" s="13" t="s">
        <v>34</v>
      </c>
      <c r="B21" s="13"/>
      <c r="C21" s="13"/>
      <c r="D21" s="13"/>
      <c r="E21" s="13"/>
      <c r="F21" s="13"/>
    </row>
    <row r="22" customFormat="false" ht="27.75" hidden="false" customHeight="true" outlineLevel="0" collapsed="false">
      <c r="A22" s="13" t="s">
        <v>35</v>
      </c>
      <c r="B22" s="13"/>
      <c r="C22" s="13"/>
      <c r="D22" s="13"/>
      <c r="E22" s="13"/>
      <c r="F22" s="13"/>
    </row>
    <row r="23" customFormat="false" ht="27.75" hidden="false" customHeight="true" outlineLevel="0" collapsed="false">
      <c r="A23" s="13" t="s">
        <v>36</v>
      </c>
      <c r="B23" s="13"/>
      <c r="C23" s="13"/>
      <c r="D23" s="13"/>
      <c r="E23" s="13"/>
      <c r="F23" s="13"/>
    </row>
  </sheetData>
  <mergeCells count="6">
    <mergeCell ref="A18:F18"/>
    <mergeCell ref="A19:F19"/>
    <mergeCell ref="A20:F20"/>
    <mergeCell ref="A21:F21"/>
    <mergeCell ref="A22:F22"/>
    <mergeCell ref="A23:F23"/>
  </mergeCells>
  <dataValidations count="1">
    <dataValidation allowBlank="false" errorStyle="stop" operator="between" showDropDown="false" showErrorMessage="false" showInputMessage="false" sqref="B10" type="list">
      <formula1>Trip!$D$5:$D$14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A"/>
    <pageSetUpPr fitToPage="true"/>
  </sheetPr>
  <dimension ref="A1:A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28"/>
    <col collapsed="false" customWidth="true" hidden="false" outlineLevel="0" max="6" min="6" style="0" width="6"/>
    <col collapsed="false" customWidth="true" hidden="false" outlineLevel="0" max="7" min="7" style="0" width="30"/>
    <col collapsed="false" customWidth="true" hidden="false" outlineLevel="0" max="9" min="8" style="0" width="7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6" min="15" style="0" width="13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16"/>
    <col collapsed="false" customWidth="true" hidden="false" outlineLevel="0" max="21" min="20" style="0" width="11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6" min="24" style="0" width="12"/>
    <col collapsed="false" customWidth="true" hidden="false" outlineLevel="0" max="29" min="27" style="0" width="7"/>
    <col collapsed="false" customWidth="true" hidden="false" outlineLevel="0" max="30" min="30" style="0" width="30"/>
  </cols>
  <sheetData>
    <row r="1" customFormat="false" ht="19.7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3" customFormat="false" ht="15" hidden="false" customHeight="false" outlineLevel="0" collapsed="false">
      <c r="L3" s="14" t="s">
        <v>39</v>
      </c>
    </row>
    <row r="4" customFormat="false" ht="42" hidden="false" customHeight="tru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</v>
      </c>
      <c r="L4" s="6" t="s">
        <v>50</v>
      </c>
      <c r="M4" s="6" t="s">
        <v>51</v>
      </c>
      <c r="N4" s="6" t="s">
        <v>52</v>
      </c>
      <c r="O4" s="6" t="s">
        <v>53</v>
      </c>
      <c r="P4" s="6" t="s">
        <v>54</v>
      </c>
      <c r="Q4" s="6" t="s">
        <v>55</v>
      </c>
      <c r="R4" s="6" t="s">
        <v>56</v>
      </c>
      <c r="S4" s="6" t="s">
        <v>57</v>
      </c>
      <c r="T4" s="6" t="s">
        <v>58</v>
      </c>
      <c r="U4" s="6" t="s">
        <v>59</v>
      </c>
      <c r="V4" s="6" t="s">
        <v>60</v>
      </c>
      <c r="W4" s="6" t="s">
        <v>61</v>
      </c>
      <c r="X4" s="6" t="s">
        <v>62</v>
      </c>
      <c r="Y4" s="6" t="s">
        <v>63</v>
      </c>
      <c r="Z4" s="6" t="s">
        <v>64</v>
      </c>
      <c r="AA4" s="6" t="s">
        <v>65</v>
      </c>
      <c r="AB4" s="6" t="s">
        <v>66</v>
      </c>
      <c r="AC4" s="6" t="s">
        <v>67</v>
      </c>
      <c r="AD4" s="6" t="s">
        <v>28</v>
      </c>
    </row>
    <row r="5" customFormat="false" ht="23.85" hidden="false" customHeight="false" outlineLevel="0" collapsed="false">
      <c r="A5" s="15" t="n">
        <v>1</v>
      </c>
      <c r="B5" s="16" t="s">
        <v>68</v>
      </c>
      <c r="C5" s="17" t="n">
        <v>46378</v>
      </c>
      <c r="D5" s="16" t="n">
        <v>1</v>
      </c>
      <c r="E5" s="5" t="s">
        <v>69</v>
      </c>
      <c r="F5" s="16" t="n">
        <v>5</v>
      </c>
      <c r="G5" s="5" t="s">
        <v>70</v>
      </c>
      <c r="H5" s="16" t="s">
        <v>71</v>
      </c>
      <c r="I5" s="16" t="n">
        <v>1</v>
      </c>
      <c r="J5" s="16" t="s">
        <v>72</v>
      </c>
      <c r="K5" s="16" t="s">
        <v>9</v>
      </c>
      <c r="L5" s="10" t="n">
        <v>23563</v>
      </c>
      <c r="M5" s="18" t="str">
        <f aca="false">IF(L5="","",IFERROR(L5*INDEX(Trip!$E$5:$E$14,MATCH(K5,Trip!$D$5:$D$14,0))/INDEX(Trip!$E$5:$E$14,MATCH(Trip!$B$10,Trip!$D$5:$D$14,0)),""))</f>
        <v/>
      </c>
      <c r="N5" s="18" t="str">
        <f aca="false">IF(OR(M5="",D5=""),"",M5/D5)</f>
        <v/>
      </c>
      <c r="O5" s="18" t="str">
        <f aca="false">IF(M5="","",M5*I5)</f>
        <v/>
      </c>
      <c r="P5" s="17" t="n">
        <v>46367</v>
      </c>
      <c r="Q5" s="19" t="n">
        <f aca="true">IF(ISNUMBER(P5),P5-TODAY(),IF(P5="","",P5))</f>
        <v>65</v>
      </c>
      <c r="R5" s="16" t="s">
        <v>73</v>
      </c>
      <c r="S5" s="16"/>
      <c r="T5" s="16" t="s">
        <v>74</v>
      </c>
      <c r="U5" s="20"/>
      <c r="V5" s="18" t="str">
        <f aca="false">IF(M5="","",M5*(1+IF(U5="",Trip!$B$11,U5)))</f>
        <v/>
      </c>
      <c r="W5" s="18" t="str">
        <f aca="false">IF(V5="","",V5*I5)</f>
        <v/>
      </c>
      <c r="X5" s="21" t="str">
        <f aca="false">IF(OR(M5="",R5="Unavailable"),"",IF(M5=_xlfn.MINIFS($M$5:$M$604,$E$5:$E$604,E5,$G$5:$G$604,G5,$H$5:$H$604,H5,$R$5:$R$604,"&lt;&gt;Unavailable"),"⭐ Cheapest",""))</f>
        <v/>
      </c>
      <c r="Y5" s="18" t="n">
        <f aca="false">IF(COUNTIFS($E$5:$E$604,E5,$G$5:$G$604,G5,$J$5:$J$604,"Booking.com")=0,"",_xlfn.MINIFS($M$5:$M$604,$E$5:$E$604,E5,$G$5:$G$604,G5,$J$5:$J$604,"Booking.com"))</f>
        <v>0</v>
      </c>
      <c r="Z5" s="18" t="str">
        <f aca="false">IF(OR(Y5="",M5="",J5="Booking.com"),"",Y5-M5)</f>
        <v/>
      </c>
      <c r="AA5" s="16" t="s">
        <v>75</v>
      </c>
      <c r="AB5" s="16"/>
      <c r="AC5" s="16"/>
      <c r="AD5" s="5" t="s">
        <v>76</v>
      </c>
    </row>
    <row r="6" customFormat="false" ht="23.85" hidden="false" customHeight="false" outlineLevel="0" collapsed="false">
      <c r="A6" s="15" t="n">
        <v>2</v>
      </c>
      <c r="B6" s="16" t="s">
        <v>68</v>
      </c>
      <c r="C6" s="17" t="n">
        <v>46378</v>
      </c>
      <c r="D6" s="16" t="n">
        <v>1</v>
      </c>
      <c r="E6" s="5" t="s">
        <v>69</v>
      </c>
      <c r="F6" s="16" t="n">
        <v>5</v>
      </c>
      <c r="G6" s="5" t="s">
        <v>70</v>
      </c>
      <c r="H6" s="16" t="s">
        <v>71</v>
      </c>
      <c r="I6" s="16" t="n">
        <v>1</v>
      </c>
      <c r="J6" s="16" t="s">
        <v>77</v>
      </c>
      <c r="K6" s="16" t="s">
        <v>11</v>
      </c>
      <c r="L6" s="10" t="n">
        <v>325</v>
      </c>
      <c r="M6" s="18" t="str">
        <f aca="false">IF(L6="","",IFERROR(L6*INDEX(Trip!$E$5:$E$14,MATCH(K6,Trip!$D$5:$D$14,0))/INDEX(Trip!$E$5:$E$14,MATCH(Trip!$B$10,Trip!$D$5:$D$14,0)),""))</f>
        <v/>
      </c>
      <c r="N6" s="18" t="str">
        <f aca="false">IF(OR(M6="",D6=""),"",M6/D6)</f>
        <v/>
      </c>
      <c r="O6" s="18" t="str">
        <f aca="false">IF(M6="","",M6*I6)</f>
        <v/>
      </c>
      <c r="P6" s="17" t="n">
        <v>46370</v>
      </c>
      <c r="Q6" s="19" t="n">
        <f aca="true">IF(ISNUMBER(P6),P6-TODAY(),IF(P6="","",P6))</f>
        <v>68</v>
      </c>
      <c r="R6" s="16" t="s">
        <v>73</v>
      </c>
      <c r="S6" s="16"/>
      <c r="T6" s="16"/>
      <c r="U6" s="20"/>
      <c r="V6" s="18" t="str">
        <f aca="false">IF(M6="","",M6*(1+IF(U6="",Trip!$B$11,U6)))</f>
        <v/>
      </c>
      <c r="W6" s="18" t="str">
        <f aca="false">IF(V6="","",V6*I6)</f>
        <v/>
      </c>
      <c r="X6" s="21" t="str">
        <f aca="false">IF(OR(M6="",R6="Unavailable"),"",IF(M6=_xlfn.MINIFS($M$5:$M$604,$E$5:$E$604,E6,$G$5:$G$604,G6,$H$5:$H$604,H6,$R$5:$R$604,"&lt;&gt;Unavailable"),"⭐ Cheapest",""))</f>
        <v/>
      </c>
      <c r="Y6" s="18" t="n">
        <f aca="false">IF(COUNTIFS($E$5:$E$604,E6,$G$5:$G$604,G6,$J$5:$J$604,"Booking.com")=0,"",_xlfn.MINIFS($M$5:$M$604,$E$5:$E$604,E6,$G$5:$G$604,G6,$J$5:$J$604,"Booking.com"))</f>
        <v>0</v>
      </c>
      <c r="Z6" s="18" t="str">
        <f aca="false">IF(OR(Y6="",M6="",J6="Booking.com"),"",Y6-M6)</f>
        <v/>
      </c>
      <c r="AA6" s="16"/>
      <c r="AB6" s="16"/>
      <c r="AC6" s="16"/>
      <c r="AD6" s="5" t="s">
        <v>78</v>
      </c>
    </row>
  </sheetData>
  <autoFilter ref="A4:AD6"/>
  <conditionalFormatting sqref="X5:X604">
    <cfRule type="expression" priority="2" aboveAverage="0" equalAverage="0" bottom="0" percent="0" rank="0" text="" dxfId="9">
      <formula>X5="⭐ Cheapest"</formula>
    </cfRule>
  </conditionalFormatting>
  <conditionalFormatting sqref="Q5:Q604">
    <cfRule type="expression" priority="3" aboveAverage="0" equalAverage="0" bottom="0" percent="0" rank="0" text="" dxfId="10">
      <formula>AND(ISNUMBER(Q5),Q5&lt;=7)</formula>
    </cfRule>
    <cfRule type="expression" priority="4" aboveAverage="0" equalAverage="0" bottom="0" percent="0" rank="0" text="" dxfId="11">
      <formula>AND(ISNUMBER(Q5),Q5&gt;7,Q5&lt;=21)</formula>
    </cfRule>
  </conditionalFormatting>
  <conditionalFormatting sqref="L5:L604">
    <cfRule type="expression" priority="5" aboveAverage="0" equalAverage="0" bottom="0" percent="0" rank="0" text="" dxfId="12">
      <formula>AND(L5&lt;&gt;"",M5="")</formula>
    </cfRule>
  </conditionalFormatting>
  <conditionalFormatting sqref="R5:R604">
    <cfRule type="cellIs" priority="6" operator="equal" aboveAverage="0" equalAverage="0" bottom="0" percent="0" rank="0" text="" dxfId="13">
      <formula>"Booked"</formula>
    </cfRule>
    <cfRule type="cellIs" priority="7" operator="equal" aboveAverage="0" equalAverage="0" bottom="0" percent="0" rank="0" text="" dxfId="14">
      <formula>"Blocked"</formula>
    </cfRule>
    <cfRule type="cellIs" priority="8" operator="equal" aboveAverage="0" equalAverage="0" bottom="0" percent="0" rank="0" text="" dxfId="15">
      <formula>"Unavailable"</formula>
    </cfRule>
  </conditionalFormatting>
  <conditionalFormatting sqref="AA5:AC604">
    <cfRule type="cellIs" priority="9" operator="equal" aboveAverage="0" equalAverage="0" bottom="0" percent="0" rank="0" text="" dxfId="16">
      <formula>"Y"</formula>
    </cfRule>
  </conditionalFormatting>
  <conditionalFormatting sqref="Z5:Z604">
    <cfRule type="expression" priority="10" aboveAverage="0" equalAverage="0" bottom="0" percent="0" rank="0" text="" dxfId="17">
      <formula>AND(ISNUMBER(Z5),Z5&gt;0)</formula>
    </cfRule>
  </conditionalFormatting>
  <dataValidations count="5">
    <dataValidation allowBlank="true" errorStyle="stop" operator="between" showDropDown="false" showErrorMessage="false" showInputMessage="false" sqref="J5:J604" type="list">
      <formula1>Lists!$A$2:$A$30</formula1>
      <formula2>0</formula2>
    </dataValidation>
    <dataValidation allowBlank="true" errorStyle="stop" operator="between" showDropDown="false" showErrorMessage="false" showInputMessage="false" sqref="H5:H604" type="list">
      <formula1>Lists!$B$2:$B$10</formula1>
      <formula2>0</formula2>
    </dataValidation>
    <dataValidation allowBlank="true" errorStyle="stop" operator="between" showDropDown="false" showErrorMessage="false" showInputMessage="false" sqref="R5:R604" type="list">
      <formula1>Lists!$C$2:$C$10</formula1>
      <formula2>0</formula2>
    </dataValidation>
    <dataValidation allowBlank="true" errorStyle="stop" operator="between" showDropDown="false" showErrorMessage="false" showInputMessage="false" sqref="K5:K604" type="list">
      <formula1>Trip!$D$5:$D$14</formula1>
      <formula2>0</formula2>
    </dataValidation>
    <dataValidation allowBlank="true" errorStyle="stop" operator="between" showDropDown="false" showErrorMessage="false" showInputMessage="false" sqref="AA5:AC604" type="list">
      <formula1>Lists!$F$2:$F$2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A047"/>
    <pageSetUpPr fitToPage="true"/>
  </sheetPr>
  <dimension ref="A1:I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7"/>
    <col collapsed="false" customWidth="true" hidden="false" outlineLevel="0" max="7" min="5" style="0" width="12"/>
    <col collapsed="false" customWidth="true" hidden="false" outlineLevel="0" max="9" min="8" style="0" width="14"/>
  </cols>
  <sheetData>
    <row r="1" customFormat="false" ht="19.7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42" hidden="false" customHeight="true" outlineLevel="0" collapsed="false">
      <c r="A4" s="6" t="s">
        <v>41</v>
      </c>
      <c r="B4" s="6" t="s">
        <v>44</v>
      </c>
      <c r="C4" s="6" t="s">
        <v>46</v>
      </c>
      <c r="D4" s="6" t="s">
        <v>47</v>
      </c>
      <c r="E4" s="6" t="s">
        <v>72</v>
      </c>
      <c r="F4" s="6" t="s">
        <v>77</v>
      </c>
      <c r="G4" s="6" t="s">
        <v>81</v>
      </c>
      <c r="H4" s="6" t="s">
        <v>82</v>
      </c>
      <c r="I4" s="6" t="s">
        <v>83</v>
      </c>
    </row>
    <row r="5" customFormat="false" ht="23.85" hidden="false" customHeight="false" outlineLevel="0" collapsed="false">
      <c r="A5" s="22" t="s">
        <v>68</v>
      </c>
      <c r="B5" s="22" t="s">
        <v>69</v>
      </c>
      <c r="C5" s="22" t="s">
        <v>70</v>
      </c>
      <c r="D5" s="22" t="s">
        <v>71</v>
      </c>
      <c r="E5" s="23" t="n">
        <f aca="false">IF(COUNTIFS(Quotes!$E$5:$E$604,$B5,Quotes!$G$5:$G$604,$C5,Quotes!$H$5:$H$604,$D5,Quotes!$J$5:$J$604,E$4,Quotes!$R$5:$R$604,"&lt;&gt;Unavailable")=0,"",_xlfn.MINIFS(Quotes!$M$5:$M$604,Quotes!$E$5:$E$604,$B5,Quotes!$G$5:$G$604,$C5,Quotes!$H$5:$H$604,$D5,Quotes!$J$5:$J$604,E$4,Quotes!$R$5:$R$604,"&lt;&gt;Unavailable"))</f>
        <v>0</v>
      </c>
      <c r="F5" s="23" t="n">
        <f aca="false">IF(COUNTIFS(Quotes!$E$5:$E$604,$B5,Quotes!$G$5:$G$604,$C5,Quotes!$H$5:$H$604,$D5,Quotes!$J$5:$J$604,F$4,Quotes!$R$5:$R$604,"&lt;&gt;Unavailable")=0,"",_xlfn.MINIFS(Quotes!$M$5:$M$604,Quotes!$E$5:$E$604,$B5,Quotes!$G$5:$G$604,$C5,Quotes!$H$5:$H$604,$D5,Quotes!$J$5:$J$604,F$4,Quotes!$R$5:$R$604,"&lt;&gt;Unavailable"))</f>
        <v>0</v>
      </c>
      <c r="G5" s="24" t="n">
        <f aca="false">IF(COUNT(E5:F5)=0,"",MIN(E5:F5))</f>
        <v>0</v>
      </c>
      <c r="H5" s="25" t="str">
        <f aca="false">IF(G5="","",INDEX($E$4:$F$4,MATCH(G5,E5:F5,0)))</f>
        <v>Ottila</v>
      </c>
      <c r="I5" s="26" t="n">
        <f aca="false">IF(OR(F5="",COUNT(E5:E5)=0),"",F5-MIN(E5:E5))</f>
        <v>0</v>
      </c>
    </row>
  </sheetData>
  <conditionalFormatting sqref="E5:F5">
    <cfRule type="expression" priority="2" aboveAverage="0" equalAverage="0" bottom="0" percent="0" rank="0" text="" dxfId="9">
      <formula>AND(ISNUMBER(E5),E5=$G$5)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A825"/>
    <pageSetUpPr fitToPage="true"/>
  </sheetPr>
  <dimension ref="A1:P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5" min="13" style="0" width="7"/>
    <col collapsed="false" customWidth="true" hidden="false" outlineLevel="0" max="16" min="16" style="0" width="30"/>
  </cols>
  <sheetData>
    <row r="1" customFormat="false" ht="19.7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42" hidden="false" customHeight="true" outlineLevel="0" collapsed="false">
      <c r="A4" s="6" t="s">
        <v>40</v>
      </c>
      <c r="B4" s="6" t="s">
        <v>86</v>
      </c>
      <c r="C4" s="6" t="s">
        <v>87</v>
      </c>
      <c r="D4" s="6" t="s">
        <v>88</v>
      </c>
      <c r="E4" s="6" t="s">
        <v>49</v>
      </c>
      <c r="F4" s="6" t="s">
        <v>5</v>
      </c>
      <c r="G4" s="6" t="s">
        <v>89</v>
      </c>
      <c r="H4" s="6" t="s">
        <v>90</v>
      </c>
      <c r="I4" s="6" t="s">
        <v>91</v>
      </c>
      <c r="J4" s="6" t="s">
        <v>92</v>
      </c>
      <c r="K4" s="6" t="s">
        <v>59</v>
      </c>
      <c r="L4" s="6" t="s">
        <v>93</v>
      </c>
      <c r="M4" s="6" t="s">
        <v>65</v>
      </c>
      <c r="N4" s="6" t="s">
        <v>66</v>
      </c>
      <c r="O4" s="6" t="s">
        <v>67</v>
      </c>
      <c r="P4" s="6" t="s">
        <v>28</v>
      </c>
    </row>
    <row r="5" customFormat="false" ht="15" hidden="false" customHeight="false" outlineLevel="0" collapsed="false">
      <c r="A5" s="15" t="n">
        <v>1</v>
      </c>
      <c r="B5" s="17" t="n">
        <v>46375</v>
      </c>
      <c r="C5" s="5" t="s">
        <v>94</v>
      </c>
      <c r="D5" s="16" t="s">
        <v>95</v>
      </c>
      <c r="E5" s="16" t="s">
        <v>96</v>
      </c>
      <c r="F5" s="16" t="s">
        <v>11</v>
      </c>
      <c r="G5" s="10" t="n">
        <v>45</v>
      </c>
      <c r="H5" s="16" t="s">
        <v>97</v>
      </c>
      <c r="I5" s="16" t="n">
        <v>1</v>
      </c>
      <c r="J5" s="18" t="str">
        <f aca="false">IF(G5="","",IFERROR(G5*INDEX(Trip!$E$5:$E$14,MATCH(F5,Trip!$D$5:$D$14,0))/INDEX(Trip!$E$5:$E$14,MATCH(Trip!$B$10,Trip!$D$5:$D$14,0))*IF(H5="Per pax",I5,1),""))</f>
        <v/>
      </c>
      <c r="K5" s="20"/>
      <c r="L5" s="18" t="str">
        <f aca="false">IF(J5="","",J5*(1+IF(K5="",Trip!$B$11,K5)))</f>
        <v/>
      </c>
      <c r="M5" s="16" t="s">
        <v>75</v>
      </c>
      <c r="N5" s="16" t="s">
        <v>75</v>
      </c>
      <c r="O5" s="16" t="s">
        <v>75</v>
      </c>
      <c r="P5" s="16" t="s">
        <v>98</v>
      </c>
    </row>
  </sheetData>
  <conditionalFormatting sqref="G5:G204">
    <cfRule type="expression" priority="2" aboveAverage="0" equalAverage="0" bottom="0" percent="0" rank="0" text="" dxfId="12">
      <formula>AND(G5&lt;&gt;"",J5="")</formula>
    </cfRule>
  </conditionalFormatting>
  <conditionalFormatting sqref="M5:O204">
    <cfRule type="cellIs" priority="3" operator="equal" aboveAverage="0" equalAverage="0" bottom="0" percent="0" rank="0" text="" dxfId="16">
      <formula>"Y"</formula>
    </cfRule>
  </conditionalFormatting>
  <dataValidations count="5">
    <dataValidation allowBlank="true" errorStyle="stop" operator="between" showDropDown="false" showErrorMessage="false" showInputMessage="false" sqref="E5:E204" type="list">
      <formula1>Lists!$A$2:$A$30</formula1>
      <formula2>0</formula2>
    </dataValidation>
    <dataValidation allowBlank="true" errorStyle="stop" operator="between" showDropDown="false" showErrorMessage="false" showInputMessage="false" sqref="D5:D204" type="list">
      <formula1>Lists!$D$2:$D$20</formula1>
      <formula2>0</formula2>
    </dataValidation>
    <dataValidation allowBlank="true" errorStyle="stop" operator="between" showDropDown="false" showErrorMessage="false" showInputMessage="false" sqref="H5:H204" type="list">
      <formula1>Lists!$E$2:$E$3</formula1>
      <formula2>0</formula2>
    </dataValidation>
    <dataValidation allowBlank="true" errorStyle="stop" operator="between" showDropDown="false" showErrorMessage="false" showInputMessage="false" sqref="F5:F204" type="list">
      <formula1>Trip!$D$5:$D$14</formula1>
      <formula2>0</formula2>
    </dataValidation>
    <dataValidation allowBlank="true" errorStyle="stop" operator="between" showDropDown="false" showErrorMessage="false" showInputMessage="false" sqref="M5:O204" type="list">
      <formula1>Lists!$F$2:$F$2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22"/>
    <col collapsed="false" customWidth="true" hidden="false" outlineLevel="0" max="5" min="5" style="0" width="46"/>
  </cols>
  <sheetData>
    <row r="1" customFormat="false" ht="19.7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42" hidden="false" customHeight="true" outlineLevel="0" collapsed="false">
      <c r="A4" s="6"/>
      <c r="B4" s="6" t="s">
        <v>65</v>
      </c>
      <c r="C4" s="6" t="s">
        <v>66</v>
      </c>
      <c r="D4" s="6" t="s">
        <v>67</v>
      </c>
      <c r="E4" s="6" t="s">
        <v>101</v>
      </c>
    </row>
    <row r="5" customFormat="false" ht="15" hidden="false" customHeight="false" outlineLevel="0" collapsed="false">
      <c r="A5" s="4" t="s">
        <v>102</v>
      </c>
      <c r="B5" s="27" t="s">
        <v>103</v>
      </c>
      <c r="C5" s="27" t="s">
        <v>104</v>
      </c>
      <c r="D5" s="27" t="s">
        <v>105</v>
      </c>
      <c r="E5" s="9" t="s">
        <v>106</v>
      </c>
    </row>
    <row r="6" customFormat="false" ht="15" hidden="false" customHeight="false" outlineLevel="0" collapsed="false">
      <c r="A6" s="4" t="s">
        <v>107</v>
      </c>
      <c r="B6" s="28" t="n">
        <v>2</v>
      </c>
      <c r="C6" s="28" t="n">
        <v>1</v>
      </c>
      <c r="D6" s="28" t="n">
        <v>2</v>
      </c>
      <c r="E6" s="9" t="s">
        <v>108</v>
      </c>
    </row>
    <row r="7" customFormat="false" ht="39.75" hidden="false" customHeight="true" outlineLevel="0" collapsed="false">
      <c r="A7" s="4" t="s">
        <v>109</v>
      </c>
      <c r="B7" s="27" t="s">
        <v>110</v>
      </c>
      <c r="C7" s="27" t="s">
        <v>110</v>
      </c>
      <c r="D7" s="27" t="s">
        <v>110</v>
      </c>
      <c r="E7" s="29" t="s">
        <v>111</v>
      </c>
    </row>
    <row r="8" customFormat="false" ht="15" hidden="false" customHeight="false" outlineLevel="0" collapsed="false">
      <c r="A8" s="4" t="s">
        <v>112</v>
      </c>
      <c r="B8" s="30" t="n">
        <f aca="false">IF(B7="All rooms",SUMIFS(Quotes!$O$5:$O$604,Quotes!$AA$5:$AA$604,"Y"),SUMIFS(Quotes!$M$5:$M$604,Quotes!$AA$5:$AA$604,"Y"))</f>
        <v>0</v>
      </c>
      <c r="C8" s="30" t="n">
        <f aca="false">IF(C7="All rooms",SUMIFS(Quotes!$O$5:$O$604,Quotes!$AB$5:$AB$604,"Y"),SUMIFS(Quotes!$M$5:$M$604,Quotes!$AB$5:$AB$604,"Y"))</f>
        <v>0</v>
      </c>
      <c r="D8" s="30" t="n">
        <f aca="false">IF(D7="All rooms",SUMIFS(Quotes!$O$5:$O$604,Quotes!$AC$5:$AC$604,"Y"),SUMIFS(Quotes!$M$5:$M$604,Quotes!$AC$5:$AC$604,"Y"))</f>
        <v>0</v>
      </c>
      <c r="E8" s="9" t="s">
        <v>113</v>
      </c>
    </row>
    <row r="9" customFormat="false" ht="15" hidden="false" customHeight="false" outlineLevel="0" collapsed="false">
      <c r="A9" s="4" t="s">
        <v>114</v>
      </c>
      <c r="B9" s="30" t="n">
        <f aca="false">SUMIFS(Land!$J$5:$J$204,Land!$M$5:$M$204,"Y")</f>
        <v>0</v>
      </c>
      <c r="C9" s="30" t="n">
        <f aca="false">SUMIFS(Land!$J$5:$J$204,Land!$N$5:$N$204,"Y")</f>
        <v>0</v>
      </c>
      <c r="D9" s="30" t="n">
        <f aca="false">SUMIFS(Land!$J$5:$J$204,Land!$O$5:$O$204,"Y")</f>
        <v>0</v>
      </c>
      <c r="E9" s="9" t="s">
        <v>115</v>
      </c>
    </row>
    <row r="10" customFormat="false" ht="15" hidden="false" customHeight="false" outlineLevel="0" collapsed="false">
      <c r="A10" s="4" t="s">
        <v>116</v>
      </c>
      <c r="B10" s="31" t="n">
        <f aca="false">B8+B9</f>
        <v>0</v>
      </c>
      <c r="C10" s="31" t="n">
        <f aca="false">C8+C9</f>
        <v>0</v>
      </c>
      <c r="D10" s="31" t="n">
        <f aca="false">D8+D9</f>
        <v>0</v>
      </c>
      <c r="E10" s="9" t="s">
        <v>117</v>
      </c>
    </row>
    <row r="11" customFormat="false" ht="15" hidden="false" customHeight="false" outlineLevel="0" collapsed="false">
      <c r="A11" s="4" t="s">
        <v>118</v>
      </c>
      <c r="B11" s="30" t="n">
        <f aca="false">IF(B7="All rooms",SUMIFS(Quotes!$W$5:$W$604,Quotes!$AA$5:$AA$604,"Y"),SUMIFS(Quotes!$V$5:$V$604,Quotes!$AA$5:$AA$604,"Y"))+SUMIFS(Land!$L$5:$L$204,Land!$M$5:$M$204,"Y")-B10</f>
        <v>0</v>
      </c>
      <c r="C11" s="30" t="n">
        <f aca="false">IF(C7="All rooms",SUMIFS(Quotes!$W$5:$W$604,Quotes!$AB$5:$AB$604,"Y"),SUMIFS(Quotes!$V$5:$V$604,Quotes!$AB$5:$AB$604,"Y"))+SUMIFS(Land!$L$5:$L$204,Land!$N$5:$N$204,"Y")-C10</f>
        <v>0</v>
      </c>
      <c r="D11" s="30" t="n">
        <f aca="false">IF(D7="All rooms",SUMIFS(Quotes!$W$5:$W$604,Quotes!$AC$5:$AC$604,"Y"),SUMIFS(Quotes!$V$5:$V$604,Quotes!$AC$5:$AC$604,"Y"))+SUMIFS(Land!$L$5:$L$204,Land!$O$5:$O$204,"Y")-D10</f>
        <v>0</v>
      </c>
      <c r="E11" s="9" t="s">
        <v>119</v>
      </c>
    </row>
    <row r="12" customFormat="false" ht="15" hidden="false" customHeight="false" outlineLevel="0" collapsed="false">
      <c r="A12" s="4" t="s">
        <v>120</v>
      </c>
      <c r="B12" s="31" t="n">
        <f aca="false">B10+B11</f>
        <v>0</v>
      </c>
      <c r="C12" s="31" t="n">
        <f aca="false">C10+C11</f>
        <v>0</v>
      </c>
      <c r="D12" s="31" t="n">
        <f aca="false">D10+D11</f>
        <v>0</v>
      </c>
      <c r="E12" s="9" t="s">
        <v>121</v>
      </c>
    </row>
    <row r="13" customFormat="false" ht="15" hidden="false" customHeight="false" outlineLevel="0" collapsed="false">
      <c r="A13" s="4" t="s">
        <v>122</v>
      </c>
      <c r="B13" s="30" t="n">
        <f aca="false">B12*Trip!$B$12</f>
        <v>0</v>
      </c>
      <c r="C13" s="30" t="n">
        <f aca="false">C12*Trip!$B$12</f>
        <v>0</v>
      </c>
      <c r="D13" s="30" t="n">
        <f aca="false">D12*Trip!$B$12</f>
        <v>0</v>
      </c>
      <c r="E13" s="9" t="s">
        <v>123</v>
      </c>
    </row>
    <row r="14" customFormat="false" ht="15" hidden="false" customHeight="false" outlineLevel="0" collapsed="false">
      <c r="A14" s="4" t="s">
        <v>124</v>
      </c>
      <c r="B14" s="30" t="n">
        <f aca="false">(B12+B13)*Trip!$B$13</f>
        <v>0</v>
      </c>
      <c r="C14" s="30" t="n">
        <f aca="false">(C12+C13)*Trip!$B$13</f>
        <v>0</v>
      </c>
      <c r="D14" s="30" t="n">
        <f aca="false">(D12+D13)*Trip!$B$13</f>
        <v>0</v>
      </c>
      <c r="E14" s="9" t="s">
        <v>125</v>
      </c>
    </row>
    <row r="15" customFormat="false" ht="15" hidden="false" customHeight="false" outlineLevel="0" collapsed="false">
      <c r="A15" s="4" t="s">
        <v>126</v>
      </c>
      <c r="B15" s="31" t="n">
        <f aca="false">B12+B13+B14</f>
        <v>0</v>
      </c>
      <c r="C15" s="31" t="n">
        <f aca="false">C12+C13+C14</f>
        <v>0</v>
      </c>
      <c r="D15" s="31" t="n">
        <f aca="false">D12+D13+D14</f>
        <v>0</v>
      </c>
      <c r="E15" s="9" t="s">
        <v>127</v>
      </c>
    </row>
    <row r="16" customFormat="false" ht="15" hidden="false" customHeight="false" outlineLevel="0" collapsed="false">
      <c r="A16" s="4" t="s">
        <v>128</v>
      </c>
      <c r="B16" s="32" t="n">
        <f aca="false">IFERROR(INDEX(Trip!$E$5:$E$14,MATCH(Trip!$B$10,Trip!$D$5:$D$14,0)),0)</f>
        <v>0</v>
      </c>
      <c r="C16" s="32" t="n">
        <f aca="false">IFERROR(INDEX(Trip!$E$5:$E$14,MATCH(Trip!$B$10,Trip!$D$5:$D$14,0)),0)</f>
        <v>0</v>
      </c>
      <c r="D16" s="32" t="n">
        <f aca="false">IFERROR(INDEX(Trip!$E$5:$E$14,MATCH(Trip!$B$10,Trip!$D$5:$D$14,0)),0)</f>
        <v>0</v>
      </c>
      <c r="E16" s="9" t="s">
        <v>129</v>
      </c>
    </row>
    <row r="17" customFormat="false" ht="15" hidden="false" customHeight="false" outlineLevel="0" collapsed="false">
      <c r="A17" s="4" t="s">
        <v>130</v>
      </c>
      <c r="B17" s="33" t="n">
        <f aca="false">B15*B16</f>
        <v>0</v>
      </c>
      <c r="C17" s="33" t="n">
        <f aca="false">C15*C16</f>
        <v>0</v>
      </c>
      <c r="D17" s="33" t="n">
        <f aca="false">D15*D16</f>
        <v>0</v>
      </c>
      <c r="E17" s="9" t="s">
        <v>131</v>
      </c>
    </row>
    <row r="18" customFormat="false" ht="15" hidden="false" customHeight="false" outlineLevel="0" collapsed="false">
      <c r="A18" s="4" t="s">
        <v>132</v>
      </c>
      <c r="B18" s="34" t="n">
        <f aca="false">ROUNDUP(B17,-2)</f>
        <v>0</v>
      </c>
      <c r="C18" s="34" t="n">
        <f aca="false">ROUNDUP(C17,-2)</f>
        <v>0</v>
      </c>
      <c r="D18" s="34" t="n">
        <f aca="false">ROUNDUP(D17,-2)</f>
        <v>0</v>
      </c>
      <c r="E18" s="9" t="s">
        <v>133</v>
      </c>
    </row>
    <row r="19" customFormat="false" ht="15" hidden="false" customHeight="false" outlineLevel="0" collapsed="false">
      <c r="A19" s="4" t="s">
        <v>134</v>
      </c>
      <c r="B19" s="34" t="n">
        <f aca="false">IF(B6&gt;0,B18/B6,"")</f>
        <v>0</v>
      </c>
      <c r="C19" s="34" t="n">
        <f aca="false">IF(C6&gt;0,C18/C6,"")</f>
        <v>0</v>
      </c>
      <c r="D19" s="34" t="n">
        <f aca="false">IF(D6&gt;0,D18/D6,"")</f>
        <v>0</v>
      </c>
      <c r="E19" s="9" t="s">
        <v>135</v>
      </c>
    </row>
    <row r="20" customFormat="false" ht="15" hidden="false" customHeight="false" outlineLevel="0" collapsed="false">
      <c r="A20" s="4" t="s">
        <v>136</v>
      </c>
      <c r="B20" s="35" t="str">
        <f aca="false">IF(B10&gt;0,B11/B10,"")</f>
        <v/>
      </c>
      <c r="C20" s="35" t="str">
        <f aca="false">IF(C10&gt;0,C11/C10,"")</f>
        <v/>
      </c>
      <c r="D20" s="35" t="str">
        <f aca="false">IF(D10&gt;0,D11/D10,"")</f>
        <v/>
      </c>
      <c r="E20" s="9" t="s">
        <v>137</v>
      </c>
    </row>
    <row r="21" customFormat="false" ht="15" hidden="false" customHeight="false" outlineLevel="0" collapsed="false">
      <c r="A21" s="4" t="s">
        <v>138</v>
      </c>
      <c r="B21" s="36" t="n">
        <f aca="false">IF(COUNTIFS(Quotes!$AA$5:$AA$604,"Y",Quotes!$P$5:$P$604,"&gt;0")=0,"—",_xlfn.MINIFS(Quotes!$P$5:$P$604,Quotes!$AA$5:$AA$604,"Y"))</f>
        <v>46367</v>
      </c>
      <c r="C21" s="36" t="str">
        <f aca="false">IF(COUNTIFS(Quotes!$AB$5:$AB$604,"Y",Quotes!$P$5:$P$604,"&gt;0")=0,"—",_xlfn.MINIFS(Quotes!$P$5:$P$604,Quotes!$AB$5:$AB$604,"Y"))</f>
        <v>—</v>
      </c>
      <c r="D21" s="36" t="str">
        <f aca="false">IF(COUNTIFS(Quotes!$AC$5:$AC$604,"Y",Quotes!$P$5:$P$604,"&gt;0")=0,"—",_xlfn.MINIFS(Quotes!$P$5:$P$604,Quotes!$AC$5:$AC$604,"Y"))</f>
        <v>—</v>
      </c>
      <c r="E21" s="9" t="s">
        <v>139</v>
      </c>
    </row>
    <row r="22" customFormat="false" ht="15" hidden="false" customHeight="false" outlineLevel="0" collapsed="false">
      <c r="A22" s="4" t="s">
        <v>140</v>
      </c>
      <c r="B22" s="37" t="str">
        <f aca="false">COUNTIF(Quotes!$AA$5:$AA$604,"Y")&amp;" / "&amp;COUNTIF(Land!$M$5:$M$204,"Y")</f>
        <v>1 / 1</v>
      </c>
      <c r="C22" s="37" t="str">
        <f aca="false">COUNTIF(Quotes!$AB$5:$AB$604,"Y")&amp;" / "&amp;COUNTIF(Land!$N$5:$N$204,"Y")</f>
        <v>0 / 1</v>
      </c>
      <c r="D22" s="37" t="str">
        <f aca="false">COUNTIF(Quotes!$AC$5:$AC$604,"Y")&amp;" / "&amp;COUNTIF(Land!$O$5:$O$204,"Y")</f>
        <v>0 / 1</v>
      </c>
      <c r="E22" s="9" t="s">
        <v>141</v>
      </c>
    </row>
    <row r="24" customFormat="false" ht="15" hidden="false" customHeight="false" outlineLevel="0" collapsed="false">
      <c r="A24" s="38" t="s">
        <v>142</v>
      </c>
      <c r="B24" s="39" t="str">
        <f aca="false">Trip!$B$10</f>
        <v>USD</v>
      </c>
    </row>
  </sheetData>
  <dataValidations count="1">
    <dataValidation allowBlank="false" errorStyle="stop" operator="between" showDropDown="false" showErrorMessage="false" showInputMessage="false" sqref="B7:D7" type="list">
      <formula1>"Per room,All rooms"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8" t="s">
        <v>143</v>
      </c>
      <c r="B1" s="38" t="s">
        <v>47</v>
      </c>
      <c r="C1" s="38" t="s">
        <v>56</v>
      </c>
      <c r="D1" s="38" t="s">
        <v>144</v>
      </c>
      <c r="E1" s="38" t="s">
        <v>90</v>
      </c>
      <c r="F1" s="38" t="s">
        <v>145</v>
      </c>
    </row>
    <row r="2" customFormat="false" ht="15" hidden="false" customHeight="false" outlineLevel="0" collapsed="false">
      <c r="A2" s="40" t="s">
        <v>72</v>
      </c>
      <c r="B2" s="40" t="s">
        <v>146</v>
      </c>
      <c r="C2" s="40" t="s">
        <v>73</v>
      </c>
      <c r="D2" s="40" t="s">
        <v>147</v>
      </c>
      <c r="E2" s="40" t="s">
        <v>97</v>
      </c>
      <c r="F2" s="40" t="s">
        <v>75</v>
      </c>
    </row>
    <row r="3" customFormat="false" ht="15" hidden="false" customHeight="false" outlineLevel="0" collapsed="false">
      <c r="A3" s="40" t="s">
        <v>148</v>
      </c>
      <c r="B3" s="40" t="s">
        <v>71</v>
      </c>
      <c r="C3" s="40" t="s">
        <v>149</v>
      </c>
      <c r="D3" s="40" t="s">
        <v>95</v>
      </c>
      <c r="E3" s="40" t="s">
        <v>150</v>
      </c>
    </row>
    <row r="4" customFormat="false" ht="15" hidden="false" customHeight="false" outlineLevel="0" collapsed="false">
      <c r="A4" s="40" t="s">
        <v>151</v>
      </c>
      <c r="B4" s="40" t="s">
        <v>152</v>
      </c>
      <c r="C4" s="40" t="s">
        <v>153</v>
      </c>
      <c r="D4" s="40" t="s">
        <v>154</v>
      </c>
    </row>
    <row r="5" customFormat="false" ht="15" hidden="false" customHeight="false" outlineLevel="0" collapsed="false">
      <c r="A5" s="40" t="s">
        <v>155</v>
      </c>
      <c r="B5" s="40" t="s">
        <v>156</v>
      </c>
      <c r="C5" s="40" t="s">
        <v>157</v>
      </c>
      <c r="D5" s="40" t="s">
        <v>158</v>
      </c>
    </row>
    <row r="6" customFormat="false" ht="15" hidden="false" customHeight="false" outlineLevel="0" collapsed="false">
      <c r="A6" s="40" t="s">
        <v>159</v>
      </c>
      <c r="B6" s="40" t="s">
        <v>160</v>
      </c>
      <c r="C6" s="40" t="s">
        <v>161</v>
      </c>
      <c r="D6" s="40" t="s">
        <v>162</v>
      </c>
    </row>
    <row r="7" customFormat="false" ht="15" hidden="false" customHeight="false" outlineLevel="0" collapsed="false">
      <c r="A7" s="40" t="s">
        <v>96</v>
      </c>
      <c r="B7" s="40" t="s">
        <v>163</v>
      </c>
      <c r="D7" s="40" t="s">
        <v>164</v>
      </c>
    </row>
    <row r="8" customFormat="false" ht="15" hidden="false" customHeight="false" outlineLevel="0" collapsed="false">
      <c r="A8" s="40" t="s">
        <v>77</v>
      </c>
      <c r="D8" s="40" t="s">
        <v>165</v>
      </c>
    </row>
    <row r="9" customFormat="false" ht="15" hidden="false" customHeight="false" outlineLevel="0" collapsed="false">
      <c r="A9" s="40" t="s">
        <v>166</v>
      </c>
      <c r="D9" s="40" t="s">
        <v>167</v>
      </c>
    </row>
    <row r="10" customFormat="false" ht="15" hidden="false" customHeight="false" outlineLevel="0" collapsed="false">
      <c r="A10" s="40" t="s">
        <v>168</v>
      </c>
      <c r="D10" s="40" t="s">
        <v>169</v>
      </c>
    </row>
    <row r="11" customFormat="false" ht="15" hidden="false" customHeight="false" outlineLevel="0" collapsed="false">
      <c r="A11" s="40" t="s">
        <v>170</v>
      </c>
      <c r="D11" s="40" t="s">
        <v>171</v>
      </c>
    </row>
    <row r="12" customFormat="false" ht="15" hidden="false" customHeight="false" outlineLevel="0" collapsed="false">
      <c r="A12" s="40" t="s">
        <v>172</v>
      </c>
      <c r="D12" s="40" t="s">
        <v>173</v>
      </c>
    </row>
    <row r="13" customFormat="false" ht="15" hidden="false" customHeight="false" outlineLevel="0" collapsed="false">
      <c r="A13" s="40" t="s">
        <v>174</v>
      </c>
    </row>
    <row r="14" customFormat="false" ht="15" hidden="false" customHeight="false" outlineLevel="0" collapsed="false">
      <c r="A14" s="40" t="s">
        <v>175</v>
      </c>
    </row>
    <row r="15" customFormat="false" ht="15" hidden="false" customHeight="false" outlineLevel="0" collapsed="false">
      <c r="A15" s="40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2026-10-07T08:39:43Z</dcterms:created>
  <dc:creator>openpyxl</dc:creator>
  <dc:description/>
  <dc:language>en-US</dc:language>
  <cp:lastModifiedBy/>
  <dcterms:modified xsi:type="dcterms:W3CDTF">2026-10-07T08:39:43Z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