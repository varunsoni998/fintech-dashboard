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7O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<sst xmlns="http://schemas.openxmlformats.org/spreadsheetml/2006/main" count="467" uniqueCount="150">
  <si>
    <t xml:space="preserve">Trip Name</t>
  </si>
  <si>
    <t xml:space="preserve">Kunj - Sri lanka</t>
  </si>
  <si>
    <t xml:space="preserve">No of Pax/ Rooms Required</t>
  </si>
  <si>
    <t xml:space="preserve">19th dec to 01st Jan - 14N/15D</t>
  </si>
  <si>
    <t xml:space="preserve">9 pax - 5 Rooms (4 DBL+1 SGL)</t>
  </si>
  <si>
    <t xml:space="preserve">Special Notes</t>
  </si>
  <si>
    <t xml:space="preserve">Status </t>
  </si>
  <si>
    <t xml:space="preserve">Booked for Which Date </t>
  </si>
  <si>
    <t xml:space="preserve">BID</t>
  </si>
  <si>
    <t xml:space="preserve">Description </t>
  </si>
  <si>
    <t xml:space="preserve">Costing From Supplier / Online Portals </t>
  </si>
  <si>
    <t xml:space="preserve">Notes</t>
  </si>
  <si>
    <t xml:space="preserve">Source</t>
  </si>
  <si>
    <t xml:space="preserve">Rate Per Room</t>
  </si>
  <si>
    <t xml:space="preserve">Cost to us</t>
  </si>
  <si>
    <t xml:space="preserve">GST &amp; Other charges</t>
  </si>
  <si>
    <t xml:space="preserve">Total Rate  (With GST)</t>
  </si>
  <si>
    <t xml:space="preserve">Meal Plan</t>
  </si>
  <si>
    <t xml:space="preserve">Cancel. Policy</t>
  </si>
  <si>
    <t xml:space="preserve">Due date</t>
  </si>
  <si>
    <t xml:space="preserve">Difference</t>
  </si>
  <si>
    <t xml:space="preserve">Negombo 19th dec to 20th dec 1N</t>
  </si>
  <si>
    <t xml:space="preserve">Regal Reseau Hotel And Spa 4* x1 Super, Deluxe, King Bed, Sea View 28m2</t>
  </si>
  <si>
    <t xml:space="preserve">Ottila</t>
  </si>
  <si>
    <t xml:space="preserve">BB</t>
  </si>
  <si>
    <t xml:space="preserve">B.com</t>
  </si>
  <si>
    <t xml:space="preserve">Jetwing Sea Hotel 4* x1 Standard Double Sea View</t>
  </si>
  <si>
    <t xml:space="preserve">Base</t>
  </si>
  <si>
    <t xml:space="preserve">Jetwing Blue 5* x1 Deluxe Room</t>
  </si>
  <si>
    <t xml:space="preserve">The Wallawwa x1 Walawwa Bedrom (1 King Bed) 35sqmr</t>
  </si>
  <si>
    <t xml:space="preserve">Wattura Resort And Spa x1 Suite With River View (1 King Bed) 72sqmt</t>
  </si>
  <si>
    <t xml:space="preserve">Blocked</t>
  </si>
  <si>
    <t xml:space="preserve">101-26160290/1</t>
  </si>
  <si>
    <t xml:space="preserve">Sentido Heritance Negombo x2 Deluxe King 40sqmt</t>
  </si>
  <si>
    <t xml:space="preserve">101-26160603/1</t>
  </si>
  <si>
    <t xml:space="preserve">Sentido Heritance Negombo x1 Deluxe King 40sqmt</t>
  </si>
  <si>
    <t xml:space="preserve">Jetwing Blue x1 TWIN DELUXE SEA VIEW( 2 Adults ) 59sqmt</t>
  </si>
  <si>
    <t xml:space="preserve">Dambulla / Sigiriya 20dec to 22dec 2N</t>
  </si>
  <si>
    <t xml:space="preserve">Habarana Village By Cinnamon 4* x1 Superior Room 30m2</t>
  </si>
  <si>
    <t xml:space="preserve">101-26157689/1</t>
  </si>
  <si>
    <t xml:space="preserve">Sigiriya Jungles Resort &amp; Spa x1 Deluxe room</t>
  </si>
  <si>
    <t xml:space="preserve">Website</t>
  </si>
  <si>
    <t xml:space="preserve">Upg 2</t>
  </si>
  <si>
    <t xml:space="preserve">Cinnamon Lodge -Habarana 5* x1 Superior room</t>
  </si>
  <si>
    <t xml:space="preserve">BTR</t>
  </si>
  <si>
    <t xml:space="preserve">HB</t>
  </si>
  <si>
    <t xml:space="preserve">Upg 3</t>
  </si>
  <si>
    <t xml:space="preserve">EKHO Sigiriya x1 Deluxe Room 22 SQM</t>
  </si>
  <si>
    <t xml:space="preserve">EKHO Sigiriya x1 suite room</t>
  </si>
  <si>
    <t xml:space="preserve">Direct</t>
  </si>
  <si>
    <t xml:space="preserve">Kandy 22dec to 23 dec 1 N</t>
  </si>
  <si>
    <t xml:space="preserve">Amaya Hills Kandy x1 Deluxe Room 21-22sqm</t>
  </si>
  <si>
    <t xml:space="preserve">Santani Wellness Kandy 5* x1 Chalet, Garden View DBL</t>
  </si>
  <si>
    <t xml:space="preserve">AI</t>
  </si>
  <si>
    <t xml:space="preserve">Santani Wellness Kandy 5* x1 Chalet, Garden View SGL</t>
  </si>
  <si>
    <t xml:space="preserve">Upg 4</t>
  </si>
  <si>
    <t xml:space="preserve">W15 Hanthana Estate Kandy 5* x1 Deluxe Room, 1 King Bed (1 King Bed) DBL/SGL 30sqm</t>
  </si>
  <si>
    <t xml:space="preserve">Taru Villas x1 Deluxe Room DBL/SGL 27sqm</t>
  </si>
  <si>
    <t xml:space="preserve">2 room on this price</t>
  </si>
  <si>
    <t xml:space="preserve">101-26161087/1</t>
  </si>
  <si>
    <t xml:space="preserve">1 room on this price</t>
  </si>
  <si>
    <t xml:space="preserve">101-26161095/1</t>
  </si>
  <si>
    <t xml:space="preserve">Taru Villas x1 Superior Double Room SGL 27sqm</t>
  </si>
  <si>
    <t xml:space="preserve">Jetwing Kandy Gallery x1 Luxury room DBL</t>
  </si>
  <si>
    <t xml:space="preserve">Jetwing Kandy Gallery x1 Luxury room SGL</t>
  </si>
  <si>
    <t xml:space="preserve">Jetwing Kandy Gallery x1 Deluxe Room DBL/SGL 27sqm</t>
  </si>
  <si>
    <t xml:space="preserve">NRF</t>
  </si>
  <si>
    <t xml:space="preserve">Taru Villas Levita 5* x1 Superior room 35M2 DBL/SGL</t>
  </si>
  <si>
    <t xml:space="preserve">TBO</t>
  </si>
  <si>
    <t xml:space="preserve">Taru Villas Levita 5* x1 Premier room 79M2 DBL/SGL</t>
  </si>
  <si>
    <t xml:space="preserve">Upg 1</t>
  </si>
  <si>
    <t xml:space="preserve">Jetwing Kandy Gallery x1 Luxury Queen Room 52 sqmt</t>
  </si>
  <si>
    <t xml:space="preserve">Earls Regency x1 Deluxe King Room 37sqmt</t>
  </si>
  <si>
    <t xml:space="preserve">Nuwara Eliya 23dec to 25dec 2N</t>
  </si>
  <si>
    <t xml:space="preserve">The Golden Ridge Hotel 5* x1 Deluxe Room DBL/SGL 23m2</t>
  </si>
  <si>
    <t xml:space="preserve">The Golden Ridge Hotel 5* x1 Family Room Standard 38sqm DBL/SGL</t>
  </si>
  <si>
    <t xml:space="preserve">The Golden Ridge Hotel 5* x1 Bedroom Standard Family Room</t>
  </si>
  <si>
    <t xml:space="preserve">50% NRF</t>
  </si>
  <si>
    <t xml:space="preserve">1 room blocked</t>
  </si>
  <si>
    <t xml:space="preserve">The Golden Ridge Hotel 5* x1 Deluxe Room SGL 23m2</t>
  </si>
  <si>
    <t xml:space="preserve">Helanka</t>
  </si>
  <si>
    <t xml:space="preserve">2 Rooms blocked</t>
  </si>
  <si>
    <t xml:space="preserve">The Golden Ridge Hotel 5* x1 Deluxe Room DBL 23m2</t>
  </si>
  <si>
    <t xml:space="preserve">The Golden Ridge Hotel 5* x1 Mountain view suite</t>
  </si>
  <si>
    <t xml:space="preserve">The Golden Ridge Hotel 5* x1 Mountain View Suite SGL</t>
  </si>
  <si>
    <t xml:space="preserve">The Golden Ridge Hotel 5* x1 Mountain View Suite DBL</t>
  </si>
  <si>
    <t xml:space="preserve">The Golden Ridge Hotel 5* x1 Junior Suite with Mountain View 32SQM</t>
  </si>
  <si>
    <t xml:space="preserve">The Golden Ridge Hotel 5* x1 Deluxe Quadruple Room with Mountain View</t>
  </si>
  <si>
    <t xml:space="preserve">Heritance Tea Factory 5* x1 Superior Room DBL/SGL</t>
  </si>
  <si>
    <t xml:space="preserve">The Bellwood Manor 5* x1 Deluxe Double Room, 1 King Bed, Fireplace, Garden View (1 King Bed) 31sqm DBL/SGL</t>
  </si>
  <si>
    <t xml:space="preserve">1 Junior Double Room, 1 King Bed, Bathtub, Garden View x1</t>
  </si>
  <si>
    <t xml:space="preserve">Goatfell Nuwara Eliya 4* x1 Concordia, Twin Beds DBL 42sqm</t>
  </si>
  <si>
    <t xml:space="preserve">Goatfell Nuwara Eliya 4* x1 Concordia, Twin Beds SGL</t>
  </si>
  <si>
    <t xml:space="preserve">The Westbury Palace x1 Prestige Deluxe Room 35sqmt</t>
  </si>
  <si>
    <t xml:space="preserve">Oliphant Boutique Villa by Amaya x1 Luxury Double Room 34sqmt</t>
  </si>
  <si>
    <t xml:space="preserve">Ella 25th dec to 27th dec 2N</t>
  </si>
  <si>
    <t xml:space="preserve">Ekho Ella 4* x1 Premier Room 34m2</t>
  </si>
  <si>
    <t xml:space="preserve">98 Acres Resort And Spa 5* x1 Premium Room 46m2</t>
  </si>
  <si>
    <t xml:space="preserve">Newburgh Ella - The Tea Factory Resort x1 Golden Tip Room 32M2 DBL/SGL</t>
  </si>
  <si>
    <t xml:space="preserve">GTTE000799</t>
  </si>
  <si>
    <t xml:space="preserve">Newburgh Ella - The Tea Factory Resort x1 golden tip Single Room</t>
  </si>
  <si>
    <t xml:space="preserve">Newburgh Ella - The Tea Factory Resort x1 golden tip dbl room</t>
  </si>
  <si>
    <t xml:space="preserve">Sliver Tip Room 32M2 DBL/SGL x1</t>
  </si>
  <si>
    <t xml:space="preserve">Galle/ 27dec to 01st 5N</t>
  </si>
  <si>
    <t xml:space="preserve">The Fort Bazaar x1 Bazaar King Bedroom (1 King Bed)</t>
  </si>
  <si>
    <t xml:space="preserve">Kahanda Kanda x1 Kk Plantation Pool Villa - Hibiscus (1 King Bed) 80sqmt</t>
  </si>
  <si>
    <t xml:space="preserve">Weligama Bay Marriott Resort &amp; Spa 5* x1 Superior Ocean View</t>
  </si>
  <si>
    <t xml:space="preserve">Kahanda Kanda 5* x1 KK Plantation Pool Villa - Nelum,1 King Bed 80m2</t>
  </si>
  <si>
    <t xml:space="preserve">Tri Tower Bedroom 25sqm x1</t>
  </si>
  <si>
    <t xml:space="preserve">Lake Villa 72sqm x1</t>
  </si>
  <si>
    <t xml:space="preserve">2 rooms aval</t>
  </si>
  <si>
    <t xml:space="preserve">Sunset Villa with Plunge Pool 80 sqm x1</t>
  </si>
  <si>
    <t xml:space="preserve">Tri Villa 140sqm x1</t>
  </si>
  <si>
    <t xml:space="preserve">with Complimentary Cocktail</t>
  </si>
  <si>
    <t xml:space="preserve">Le Grand Galle 5* x1 Deluxe Room 45 sqm DBL ( 2 Rooms available)</t>
  </si>
  <si>
    <t xml:space="preserve">Le Grand Galle 5* x1 Deluxe room DBL No complimentary cocktails</t>
  </si>
  <si>
    <t xml:space="preserve">Le Grand Galle 5* x1 Deluxe Room 45 sqm SGL</t>
  </si>
  <si>
    <t xml:space="preserve">Le Grand Galle 5* x1 Deluxe room SGL No complimentary cocktails</t>
  </si>
  <si>
    <t xml:space="preserve">Le Grand Galle 5* x1 signature room 49 sqm DBL</t>
  </si>
  <si>
    <t xml:space="preserve">Le Grand Galle 5* x1 signature room 49 sqm DBL No complimentray cocktails</t>
  </si>
  <si>
    <t xml:space="preserve">Le Grand Galle 5* x1 signature room 49 sqm SGL</t>
  </si>
  <si>
    <t xml:space="preserve">Le Grand Galle 5* x1 signature room 49 sqm SGL No complimentray cocktails</t>
  </si>
  <si>
    <t xml:space="preserve">Araliya Beach Resort And Spa 5* x1 Deluxe Double Room 45 sqm</t>
  </si>
  <si>
    <t xml:space="preserve">Colombo 01st Jan to 02nd Jan 1N</t>
  </si>
  <si>
    <t xml:space="preserve">Vivanta Colombo, Airport Garden x1 Deluxe Double/ SGL 24 Sqm</t>
  </si>
  <si>
    <t xml:space="preserve">N/A</t>
  </si>
  <si>
    <t xml:space="preserve">colombo international airport hotel x1 Deluxe Double Room, City View,1 Double Bed DBL/SGL29m2</t>
  </si>
  <si>
    <t xml:space="preserve">Land package </t>
  </si>
  <si>
    <t xml:space="preserve">Minibus with English-speaking National Guide &amp; driver (full tour)</t>
  </si>
  <si>
    <t xml:space="preserve">Two Toyota vans with English-speaking chauffeurs (full tour)</t>
  </si>
  <si>
    <t xml:space="preserve">Total cost</t>
  </si>
  <si>
    <t xml:space="preserve">ROE - USD</t>
  </si>
  <si>
    <t xml:space="preserve">ROE - EUR</t>
  </si>
  <si>
    <t xml:space="preserve">Per couple</t>
  </si>
  <si>
    <t xml:space="preserve">in INR</t>
  </si>
  <si>
    <t xml:space="preserve">Per Pax / SGL</t>
  </si>
  <si>
    <t xml:space="preserve">Per Couple Upgraded Room</t>
  </si>
  <si>
    <t xml:space="preserve">Cost to US</t>
  </si>
  <si>
    <t xml:space="preserve">Markup </t>
  </si>
  <si>
    <t xml:space="preserve">Cost to Client </t>
  </si>
  <si>
    <t xml:space="preserve">GST</t>
  </si>
  <si>
    <t xml:space="preserve">TCS 2%</t>
  </si>
  <si>
    <t xml:space="preserve">Payable</t>
  </si>
  <si>
    <t xml:space="preserve">Round Off</t>
  </si>
  <si>
    <t xml:space="preserve">commission </t>
  </si>
  <si>
    <t xml:space="preserve">Hotel Name</t>
  </si>
  <si>
    <t xml:space="preserve">Check out date</t>
  </si>
  <si>
    <t xml:space="preserve">Amount</t>
  </si>
  <si>
    <t xml:space="preserve">Reporting</t>
  </si>
  <si>
    <t xml:space="preserve">Hotel/DMC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</si>
</sst>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[$$-409]* #,##0_ ;_-[$$-409]* \-#,##0\ ;_-[$$-409]* \-??_ ;_-@_ "/>
    <numFmt numFmtId="166" formatCode="d\-mmm"/>
    <numFmt numFmtId="167" formatCode="_ * #,##0.00_ ;_ * \-#,##0.00_ ;_ * \-??_ ;_ @_ "/>
    <numFmt numFmtId="168" formatCode="_ [$₹-4009]\ * #,##0_ ;_ [$₹-4009]\ * \-#,##0_ ;_ [$₹-4009]\ * \-??_ ;_ @_ 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theme="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B05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EEECE1"/>
      </patternFill>
    </fill>
    <fill>
      <patternFill patternType="solid">
        <fgColor theme="4" tint="0.7999"/>
        <bgColor rgb="FFEEECE1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DCE6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6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.7"/>
    <col collapsed="false" customWidth="true" hidden="false" outlineLevel="0" max="4" min="4" style="0" width="14.3"/>
    <col collapsed="false" customWidth="true" hidden="false" outlineLevel="0" max="5" min="5" style="0" width="44.6"/>
    <col collapsed="false" customWidth="true" hidden="false" outlineLevel="0" max="6" min="6" style="0" width="13"/>
    <col collapsed="false" customWidth="true" hidden="false" outlineLevel="0" max="7" min="7" style="0" width="14.7"/>
    <col collapsed="false" customWidth="true" hidden="false" outlineLevel="0" max="8" min="8" style="0" width="14.6"/>
    <col collapsed="false" customWidth="true" hidden="false" outlineLevel="0" max="9" min="9" style="0" width="13.5"/>
    <col collapsed="false" customWidth="true" hidden="false" outlineLevel="0" max="10" min="10" style="0" width="12"/>
    <col collapsed="false" customWidth="true" hidden="false" outlineLevel="0" max="11" min="11" style="0" width="5.6"/>
    <col collapsed="false" customWidth="true" hidden="false" outlineLevel="0" max="12" min="12" style="0" width="10.51"/>
    <col collapsed="false" customWidth="true" hidden="false" outlineLevel="0" max="13" min="13" style="0" width="5.8"/>
    <col collapsed="false" customWidth="true" hidden="false" outlineLevel="0" max="14" min="14" style="0" width="0.3"/>
    <col collapsed="false" customWidth="true" hidden="false" outlineLevel="0" max="15" min="15" style="0" width="9"/>
    <col collapsed="false" customWidth="true" hidden="false" outlineLevel="0" max="16" min="16" style="0" width="14.6"/>
    <col collapsed="false" customWidth="true" hidden="false" outlineLevel="0" max="17" min="17" style="0" width="13.5"/>
    <col collapsed="false" customWidth="true" hidden="false" outlineLevel="0" max="18" min="18" style="0" width="6.6"/>
    <col collapsed="false" customWidth="true" hidden="false" outlineLevel="0" max="19" min="19" style="0" width="11.8"/>
    <col collapsed="false" customWidth="true" hidden="false" outlineLevel="0" max="20" min="20" style="0" width="34"/>
  </cols>
  <sheetData>
    <row r="2" customFormat="false" ht="15" hidden="false" customHeight="false" outlineLevel="0" collapsed="false">
      <c r="A2" s="1" t="s">
        <v>0</v>
      </c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3"/>
      <c r="N2" s="3"/>
      <c r="P2" s="4"/>
      <c r="Q2" s="4"/>
    </row>
    <row r="3" customFormat="false" ht="15" hidden="false" customHeight="false" outlineLevel="0" collapsed="false">
      <c r="A3" s="1" t="s">
        <v>2</v>
      </c>
      <c r="B3" s="1"/>
      <c r="C3" s="1"/>
      <c r="D3" s="2" t="s">
        <v>3</v>
      </c>
      <c r="E3" s="2"/>
      <c r="F3" s="2"/>
      <c r="G3" s="1" t="s">
        <v>4</v>
      </c>
      <c r="H3" s="1"/>
      <c r="I3" s="1"/>
      <c r="J3" s="1"/>
      <c r="K3" s="1"/>
      <c r="L3" s="1"/>
      <c r="M3" s="3"/>
      <c r="N3" s="3"/>
      <c r="P3" s="4"/>
      <c r="Q3" s="4"/>
    </row>
    <row r="4" customFormat="false" ht="15" hidden="false" customHeight="false" outlineLevel="0" collapsed="false">
      <c r="A4" s="1" t="s">
        <v>5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3"/>
      <c r="N4" s="3"/>
      <c r="P4" s="4"/>
      <c r="Q4" s="4"/>
    </row>
    <row r="6" customFormat="false" ht="15" hidden="false" customHeight="true" outlineLevel="0" collapsed="false">
      <c r="A6" s="5" t="s">
        <v>6</v>
      </c>
      <c r="B6" s="5"/>
      <c r="C6" s="5" t="s">
        <v>7</v>
      </c>
      <c r="D6" s="5" t="s">
        <v>8</v>
      </c>
      <c r="E6" s="5" t="s">
        <v>9</v>
      </c>
      <c r="F6" s="6" t="s">
        <v>10</v>
      </c>
      <c r="G6" s="6"/>
      <c r="H6" s="6"/>
      <c r="I6" s="6"/>
      <c r="J6" s="6"/>
      <c r="K6" s="6"/>
      <c r="L6" s="6"/>
      <c r="M6" s="7"/>
      <c r="N6" s="8"/>
      <c r="P6" s="9"/>
      <c r="Q6" s="9"/>
    </row>
    <row r="7" customFormat="false" ht="28.5" hidden="false" customHeight="true" outlineLevel="0" collapsed="false">
      <c r="A7" s="5"/>
      <c r="B7" s="5" t="s">
        <v>11</v>
      </c>
      <c r="C7" s="5"/>
      <c r="D7" s="5"/>
      <c r="E7" s="5"/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  <c r="N7" s="8"/>
      <c r="O7" s="11" t="s">
        <v>12</v>
      </c>
      <c r="P7" s="11" t="s">
        <v>14</v>
      </c>
      <c r="Q7" s="12" t="s">
        <v>20</v>
      </c>
      <c r="R7" s="11" t="s">
        <v>17</v>
      </c>
      <c r="S7" s="11" t="s">
        <v>18</v>
      </c>
    </row>
    <row r="9" customFormat="false" ht="15" hidden="false" customHeight="false" outlineLevel="0" collapsed="false">
      <c r="A9" s="13"/>
      <c r="B9" s="13"/>
      <c r="C9" s="13"/>
      <c r="D9" s="13"/>
      <c r="E9" s="14" t="s">
        <v>21</v>
      </c>
      <c r="F9" s="13"/>
      <c r="G9" s="13"/>
      <c r="H9" s="13"/>
      <c r="I9" s="13"/>
      <c r="J9" s="13"/>
      <c r="K9" s="13"/>
      <c r="L9" s="13"/>
      <c r="M9" s="13"/>
      <c r="O9" s="13"/>
      <c r="P9" s="13"/>
      <c r="Q9" s="13"/>
      <c r="R9" s="13"/>
      <c r="S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O10" s="13"/>
      <c r="P10" s="13"/>
      <c r="Q10" s="13"/>
      <c r="R10" s="13"/>
      <c r="S10" s="13"/>
    </row>
    <row r="11" customFormat="false" ht="15" hidden="false" customHeight="false" outlineLevel="0" collapsed="false">
      <c r="A11" s="13"/>
      <c r="B11" s="13"/>
      <c r="C11" s="13"/>
      <c r="D11" s="13"/>
      <c r="E11" s="13" t="s">
        <v>22</v>
      </c>
      <c r="F11" s="13" t="s">
        <v>23</v>
      </c>
      <c r="G11" s="15" t="n">
        <f aca="false">14213/$F$124</f>
        <v>150.721102863203</v>
      </c>
      <c r="H11" s="15"/>
      <c r="I11" s="15"/>
      <c r="J11" s="15"/>
      <c r="K11" s="13" t="s">
        <v>24</v>
      </c>
      <c r="L11" s="16" t="n">
        <v>46369</v>
      </c>
      <c r="M11" s="17"/>
      <c r="O11" s="13" t="s">
        <v>25</v>
      </c>
      <c r="P11" s="15" t="n">
        <f aca="false">13121/$F$124</f>
        <v>139.141039236479</v>
      </c>
      <c r="Q11" s="15" t="n">
        <f aca="false">P11-G11</f>
        <v>-11.5800636267232</v>
      </c>
      <c r="R11" s="13" t="s">
        <v>24</v>
      </c>
      <c r="S11" s="16" t="n">
        <v>46372</v>
      </c>
    </row>
    <row r="12" customFormat="false" ht="15" hidden="false" customHeight="false" outlineLevel="0" collapsed="false">
      <c r="A12" s="13"/>
      <c r="B12" s="13"/>
      <c r="C12" s="13"/>
      <c r="D12" s="13"/>
      <c r="E12" s="13" t="s">
        <v>26</v>
      </c>
      <c r="F12" s="13" t="s">
        <v>23</v>
      </c>
      <c r="G12" s="15" t="n">
        <f aca="false">10318/$F$124</f>
        <v>109.416755037116</v>
      </c>
      <c r="H12" s="15"/>
      <c r="I12" s="15"/>
      <c r="J12" s="15"/>
      <c r="K12" s="13" t="s">
        <v>24</v>
      </c>
      <c r="L12" s="16" t="n">
        <v>46357</v>
      </c>
      <c r="M12" s="17"/>
      <c r="O12" s="13"/>
      <c r="P12" s="15"/>
      <c r="Q12" s="15"/>
      <c r="R12" s="13"/>
      <c r="S12" s="16"/>
    </row>
    <row r="13" customFormat="false" ht="15" hidden="false" customHeight="false" outlineLevel="0" collapsed="false">
      <c r="A13" s="13"/>
      <c r="B13" s="13"/>
      <c r="C13" s="13"/>
      <c r="D13" s="13" t="s">
        <v>27</v>
      </c>
      <c r="E13" s="13" t="s">
        <v>28</v>
      </c>
      <c r="F13" s="13" t="s">
        <v>23</v>
      </c>
      <c r="G13" s="15" t="n">
        <f aca="false">15158/$F$124</f>
        <v>160.742311770944</v>
      </c>
      <c r="H13" s="15"/>
      <c r="I13" s="15"/>
      <c r="J13" s="15"/>
      <c r="K13" s="13" t="s">
        <v>24</v>
      </c>
      <c r="L13" s="16" t="n">
        <v>46348</v>
      </c>
      <c r="M13" s="17"/>
      <c r="O13" s="13" t="s">
        <v>25</v>
      </c>
      <c r="P13" s="15" t="n">
        <v>179</v>
      </c>
      <c r="Q13" s="15" t="n">
        <f aca="false">P13-G13</f>
        <v>18.2576882290562</v>
      </c>
      <c r="R13" s="13" t="s">
        <v>24</v>
      </c>
      <c r="S13" s="16"/>
    </row>
    <row r="14" customFormat="false" ht="15" hidden="false" customHeight="false" outlineLevel="0" collapsed="false">
      <c r="A14" s="13"/>
      <c r="B14" s="13"/>
      <c r="C14" s="13"/>
      <c r="D14" s="13"/>
      <c r="E14" s="13" t="s">
        <v>29</v>
      </c>
      <c r="F14" s="13" t="s">
        <v>23</v>
      </c>
      <c r="G14" s="15" t="n">
        <f aca="false">50279/$F$124</f>
        <v>533.181336161188</v>
      </c>
      <c r="H14" s="15"/>
      <c r="I14" s="15"/>
      <c r="J14" s="15"/>
      <c r="K14" s="13" t="s">
        <v>24</v>
      </c>
      <c r="L14" s="16" t="n">
        <v>46342</v>
      </c>
      <c r="M14" s="17"/>
      <c r="O14" s="13" t="s">
        <v>25</v>
      </c>
      <c r="P14" s="15" t="n">
        <v>580</v>
      </c>
      <c r="Q14" s="15" t="n">
        <f aca="false">P14-G14</f>
        <v>46.8186638388123</v>
      </c>
      <c r="R14" s="13" t="s">
        <v>24</v>
      </c>
      <c r="S14" s="16"/>
    </row>
    <row r="15" customFormat="false" ht="15" hidden="false" customHeight="false" outlineLevel="0" collapsed="false">
      <c r="A15" s="13"/>
      <c r="B15" s="13"/>
      <c r="C15" s="13"/>
      <c r="D15" s="13"/>
      <c r="E15" s="13" t="s">
        <v>30</v>
      </c>
      <c r="F15" s="13" t="s">
        <v>23</v>
      </c>
      <c r="G15" s="15" t="n">
        <f aca="false">22291/$F$124</f>
        <v>236.383881230117</v>
      </c>
      <c r="H15" s="15"/>
      <c r="I15" s="15"/>
      <c r="J15" s="15"/>
      <c r="K15" s="13" t="s">
        <v>24</v>
      </c>
      <c r="L15" s="16" t="n">
        <v>46369</v>
      </c>
      <c r="M15" s="17"/>
      <c r="O15" s="13" t="s">
        <v>25</v>
      </c>
      <c r="P15" s="15" t="n">
        <v>250</v>
      </c>
      <c r="Q15" s="15" t="n">
        <f aca="false">P15-G15</f>
        <v>13.6161187698833</v>
      </c>
      <c r="R15" s="13" t="s">
        <v>24</v>
      </c>
      <c r="S15" s="16"/>
    </row>
    <row r="16" customFormat="false" ht="15" hidden="false" customHeight="false" outlineLevel="0" collapsed="false">
      <c r="A16" s="18" t="s">
        <v>31</v>
      </c>
      <c r="B16" s="19"/>
      <c r="C16" s="19"/>
      <c r="D16" s="19" t="s">
        <v>32</v>
      </c>
      <c r="E16" s="19" t="s">
        <v>33</v>
      </c>
      <c r="F16" s="19" t="s">
        <v>23</v>
      </c>
      <c r="G16" s="20" t="n">
        <f aca="false">17754/$F$124</f>
        <v>188.271474019088</v>
      </c>
      <c r="H16" s="20" t="n">
        <f aca="false">G16*25.88%</f>
        <v>48.72465747614</v>
      </c>
      <c r="I16" s="20"/>
      <c r="J16" s="21" t="n">
        <f aca="false">G16+H16+I16</f>
        <v>236.996131495228</v>
      </c>
      <c r="K16" s="19" t="s">
        <v>24</v>
      </c>
      <c r="L16" s="22" t="n">
        <v>46358</v>
      </c>
      <c r="M16" s="23"/>
      <c r="O16" s="19" t="s">
        <v>25</v>
      </c>
      <c r="P16" s="20" t="n">
        <v>329</v>
      </c>
      <c r="Q16" s="20" t="n">
        <f aca="false">P16-G16</f>
        <v>140.728525980912</v>
      </c>
      <c r="R16" s="19" t="s">
        <v>24</v>
      </c>
      <c r="S16" s="22"/>
    </row>
    <row r="17" customFormat="false" ht="15" hidden="false" customHeight="false" outlineLevel="0" collapsed="false">
      <c r="A17" s="18" t="s">
        <v>31</v>
      </c>
      <c r="B17" s="19"/>
      <c r="C17" s="19"/>
      <c r="D17" s="19" t="s">
        <v>34</v>
      </c>
      <c r="E17" s="19" t="s">
        <v>35</v>
      </c>
      <c r="F17" s="19" t="s">
        <v>23</v>
      </c>
      <c r="G17" s="20" t="n">
        <f aca="false">17189/$F$124</f>
        <v>182.279957582185</v>
      </c>
      <c r="H17" s="20"/>
      <c r="I17" s="20"/>
      <c r="J17" s="20"/>
      <c r="K17" s="19" t="s">
        <v>24</v>
      </c>
      <c r="L17" s="22" t="n">
        <v>46369</v>
      </c>
      <c r="M17" s="23"/>
      <c r="O17" s="19"/>
      <c r="P17" s="20"/>
      <c r="Q17" s="20"/>
      <c r="R17" s="19"/>
      <c r="S17" s="22"/>
    </row>
    <row r="18" customFormat="false" ht="15" hidden="false" customHeight="false" outlineLevel="0" collapsed="false">
      <c r="A18" s="13"/>
      <c r="B18" s="13"/>
      <c r="C18" s="13"/>
      <c r="D18" s="13"/>
      <c r="E18" s="13" t="s">
        <v>36</v>
      </c>
      <c r="F18" s="13" t="s">
        <v>23</v>
      </c>
      <c r="G18" s="15" t="n">
        <f aca="false">16050/$F$124</f>
        <v>170.201484623542</v>
      </c>
      <c r="H18" s="15"/>
      <c r="I18" s="15"/>
      <c r="J18" s="15"/>
      <c r="K18" s="13" t="s">
        <v>24</v>
      </c>
      <c r="L18" s="16"/>
      <c r="M18" s="17"/>
      <c r="O18" s="13"/>
      <c r="P18" s="15"/>
      <c r="Q18" s="15"/>
      <c r="R18" s="13"/>
      <c r="S18" s="16"/>
    </row>
    <row r="21" customFormat="false" ht="15" hidden="false" customHeight="false" outlineLevel="0" collapsed="false">
      <c r="A21" s="13"/>
      <c r="B21" s="13"/>
      <c r="C21" s="13"/>
      <c r="D21" s="13"/>
      <c r="E21" s="14" t="s">
        <v>37</v>
      </c>
      <c r="F21" s="13"/>
      <c r="G21" s="13"/>
      <c r="H21" s="13"/>
      <c r="I21" s="13"/>
      <c r="J21" s="13"/>
      <c r="K21" s="13"/>
      <c r="L21" s="13"/>
      <c r="M21" s="13"/>
      <c r="O21" s="13"/>
      <c r="P21" s="13"/>
      <c r="Q21" s="13"/>
      <c r="R21" s="13"/>
      <c r="S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O22" s="13"/>
      <c r="P22" s="13"/>
      <c r="Q22" s="13"/>
      <c r="R22" s="13"/>
      <c r="S22" s="13"/>
    </row>
    <row r="23" customFormat="false" ht="15" hidden="false" customHeight="false" outlineLevel="0" collapsed="false">
      <c r="A23" s="13"/>
      <c r="B23" s="13"/>
      <c r="C23" s="13"/>
      <c r="D23" s="13" t="s">
        <v>27</v>
      </c>
      <c r="E23" s="13" t="s">
        <v>38</v>
      </c>
      <c r="F23" s="13" t="s">
        <v>23</v>
      </c>
      <c r="G23" s="15" t="n">
        <f aca="false">25708/$F$124</f>
        <v>272.619300106045</v>
      </c>
      <c r="H23" s="15"/>
      <c r="I23" s="15"/>
      <c r="J23" s="15"/>
      <c r="K23" s="13" t="s">
        <v>24</v>
      </c>
      <c r="L23" s="16" t="n">
        <v>46358</v>
      </c>
      <c r="M23" s="17"/>
      <c r="O23" s="13" t="s">
        <v>25</v>
      </c>
      <c r="P23" s="15" t="n">
        <f aca="false">32760/$F$124</f>
        <v>347.401908801697</v>
      </c>
      <c r="Q23" s="15" t="n">
        <f aca="false">P23-G23</f>
        <v>74.7826086956522</v>
      </c>
      <c r="R23" s="13" t="s">
        <v>24</v>
      </c>
      <c r="S23" s="16" t="n">
        <v>46368</v>
      </c>
    </row>
    <row r="24" customFormat="false" ht="15" hidden="false" customHeight="false" outlineLevel="0" collapsed="false">
      <c r="A24" s="18" t="s">
        <v>31</v>
      </c>
      <c r="B24" s="19"/>
      <c r="C24" s="19"/>
      <c r="D24" s="19" t="s">
        <v>39</v>
      </c>
      <c r="E24" s="19" t="s">
        <v>40</v>
      </c>
      <c r="F24" s="19" t="s">
        <v>23</v>
      </c>
      <c r="G24" s="20" t="n">
        <f aca="false">39204.2/$F$124</f>
        <v>415.739130434783</v>
      </c>
      <c r="H24" s="20" t="n">
        <f aca="false">G24*0.06%</f>
        <v>0.24944347826087</v>
      </c>
      <c r="I24" s="20"/>
      <c r="J24" s="21" t="n">
        <f aca="false">G24+H24+I24</f>
        <v>415.988573913043</v>
      </c>
      <c r="K24" s="19" t="s">
        <v>24</v>
      </c>
      <c r="L24" s="22" t="n">
        <v>46365</v>
      </c>
      <c r="M24" s="23"/>
      <c r="O24" s="19" t="s">
        <v>41</v>
      </c>
      <c r="P24" s="20" t="n">
        <v>416</v>
      </c>
      <c r="Q24" s="20" t="n">
        <f aca="false">P24-G24</f>
        <v>0.260869565217433</v>
      </c>
      <c r="R24" s="19" t="s">
        <v>24</v>
      </c>
      <c r="S24" s="22"/>
    </row>
    <row r="25" customFormat="false" ht="15" hidden="false" customHeight="false" outlineLevel="0" collapsed="false">
      <c r="A25" s="13"/>
      <c r="B25" s="13"/>
      <c r="C25" s="13"/>
      <c r="D25" s="13" t="s">
        <v>42</v>
      </c>
      <c r="E25" s="13" t="s">
        <v>43</v>
      </c>
      <c r="F25" s="13" t="s">
        <v>44</v>
      </c>
      <c r="G25" s="15" t="n">
        <v>340</v>
      </c>
      <c r="H25" s="15"/>
      <c r="I25" s="15"/>
      <c r="J25" s="15"/>
      <c r="K25" s="13" t="s">
        <v>45</v>
      </c>
      <c r="L25" s="16"/>
      <c r="M25" s="17"/>
      <c r="O25" s="13" t="s">
        <v>25</v>
      </c>
      <c r="P25" s="15" t="n">
        <f aca="false">41320/$F$124</f>
        <v>438.176033934252</v>
      </c>
      <c r="Q25" s="15" t="n">
        <f aca="false">P25-G25</f>
        <v>98.1760339342524</v>
      </c>
      <c r="R25" s="13" t="s">
        <v>45</v>
      </c>
      <c r="S25" s="16" t="n">
        <v>46368</v>
      </c>
    </row>
    <row r="26" customFormat="false" ht="15" hidden="false" customHeight="false" outlineLevel="0" collapsed="false">
      <c r="A26" s="13"/>
      <c r="B26" s="13"/>
      <c r="C26" s="13"/>
      <c r="D26" s="13" t="s">
        <v>46</v>
      </c>
      <c r="E26" s="13" t="s">
        <v>47</v>
      </c>
      <c r="F26" s="13" t="s">
        <v>23</v>
      </c>
      <c r="G26" s="15" t="n">
        <f aca="false">26817/$F$124</f>
        <v>284.379639448568</v>
      </c>
      <c r="H26" s="15"/>
      <c r="I26" s="15"/>
      <c r="J26" s="15"/>
      <c r="K26" s="13" t="s">
        <v>24</v>
      </c>
      <c r="L26" s="16" t="n">
        <v>46362</v>
      </c>
      <c r="M26" s="17"/>
      <c r="O26" s="13"/>
      <c r="P26" s="15"/>
      <c r="Q26" s="15"/>
      <c r="R26" s="13"/>
      <c r="S26" s="16"/>
    </row>
    <row r="27" customFormat="false" ht="15" hidden="false" customHeight="false" outlineLevel="0" collapsed="false">
      <c r="A27" s="13"/>
      <c r="B27" s="13"/>
      <c r="C27" s="13"/>
      <c r="D27" s="13"/>
      <c r="E27" s="13" t="s">
        <v>48</v>
      </c>
      <c r="F27" s="13" t="s">
        <v>49</v>
      </c>
      <c r="G27" s="15" t="n">
        <f aca="false">49108/$F$124</f>
        <v>520.763520678685</v>
      </c>
      <c r="H27" s="15"/>
      <c r="I27" s="15"/>
      <c r="J27" s="15"/>
      <c r="K27" s="13" t="s">
        <v>45</v>
      </c>
      <c r="L27" s="16" t="n">
        <v>46372</v>
      </c>
      <c r="M27" s="17"/>
      <c r="O27" s="13"/>
      <c r="P27" s="15"/>
      <c r="Q27" s="15"/>
      <c r="R27" s="13"/>
      <c r="S27" s="16"/>
    </row>
    <row r="30" customFormat="false" ht="15" hidden="false" customHeight="false" outlineLevel="0" collapsed="false">
      <c r="A30" s="13"/>
      <c r="B30" s="13"/>
      <c r="C30" s="13"/>
      <c r="D30" s="13"/>
      <c r="E30" s="14" t="s">
        <v>50</v>
      </c>
      <c r="F30" s="13"/>
      <c r="G30" s="13"/>
      <c r="H30" s="13"/>
      <c r="I30" s="13"/>
      <c r="J30" s="13"/>
      <c r="K30" s="13"/>
      <c r="L30" s="13"/>
      <c r="M30" s="13"/>
      <c r="O30" s="13"/>
      <c r="P30" s="13"/>
      <c r="Q30" s="13"/>
      <c r="R30" s="13"/>
      <c r="S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O31" s="13"/>
      <c r="P31" s="13"/>
      <c r="Q31" s="13"/>
      <c r="R31" s="13"/>
      <c r="S31" s="13"/>
    </row>
    <row r="32" customFormat="false" ht="15" hidden="false" customHeight="false" outlineLevel="0" collapsed="false">
      <c r="A32" s="13"/>
      <c r="B32" s="13"/>
      <c r="C32" s="13"/>
      <c r="D32" s="13" t="s">
        <v>27</v>
      </c>
      <c r="E32" s="13" t="s">
        <v>51</v>
      </c>
      <c r="F32" s="13" t="s">
        <v>23</v>
      </c>
      <c r="G32" s="15" t="n">
        <f aca="false">23563/$F$124</f>
        <v>249.872746553553</v>
      </c>
      <c r="H32" s="15"/>
      <c r="I32" s="15"/>
      <c r="J32" s="15"/>
      <c r="K32" s="13" t="s">
        <v>24</v>
      </c>
      <c r="L32" s="16" t="n">
        <v>46367</v>
      </c>
      <c r="M32" s="17"/>
      <c r="O32" s="13" t="s">
        <v>25</v>
      </c>
      <c r="P32" s="15" t="n">
        <v>325</v>
      </c>
      <c r="Q32" s="15" t="n">
        <f aca="false">P32-G32</f>
        <v>75.1272534464475</v>
      </c>
      <c r="R32" s="13" t="s">
        <v>24</v>
      </c>
      <c r="S32" s="16" t="n">
        <v>46370</v>
      </c>
    </row>
    <row r="33" customFormat="false" ht="15" hidden="false" customHeight="false" outlineLevel="0" collapsed="false">
      <c r="A33" s="13"/>
      <c r="B33" s="13"/>
      <c r="C33" s="13"/>
      <c r="D33" s="13" t="s">
        <v>46</v>
      </c>
      <c r="E33" s="13" t="s">
        <v>52</v>
      </c>
      <c r="F33" s="13" t="s">
        <v>23</v>
      </c>
      <c r="G33" s="15" t="n">
        <f aca="false">105906/$F$124</f>
        <v>1123.07529162248</v>
      </c>
      <c r="H33" s="15"/>
      <c r="I33" s="15"/>
      <c r="J33" s="15"/>
      <c r="K33" s="13" t="s">
        <v>53</v>
      </c>
      <c r="L33" s="16" t="n">
        <v>46345</v>
      </c>
      <c r="M33" s="17"/>
      <c r="O33" s="13"/>
      <c r="P33" s="15"/>
      <c r="Q33" s="15"/>
      <c r="R33" s="13"/>
      <c r="S33" s="16"/>
    </row>
    <row r="34" customFormat="false" ht="15" hidden="false" customHeight="false" outlineLevel="0" collapsed="false">
      <c r="A34" s="13"/>
      <c r="B34" s="13"/>
      <c r="C34" s="13"/>
      <c r="D34" s="13" t="s">
        <v>46</v>
      </c>
      <c r="E34" s="13" t="s">
        <v>54</v>
      </c>
      <c r="F34" s="13" t="s">
        <v>23</v>
      </c>
      <c r="G34" s="15" t="n">
        <f aca="false">80156/$F$124</f>
        <v>850.010604453871</v>
      </c>
      <c r="H34" s="15"/>
      <c r="I34" s="15"/>
      <c r="J34" s="15"/>
      <c r="K34" s="13" t="s">
        <v>53</v>
      </c>
      <c r="L34" s="16" t="n">
        <v>46345</v>
      </c>
      <c r="M34" s="17"/>
      <c r="O34" s="13"/>
      <c r="P34" s="15"/>
      <c r="Q34" s="15"/>
      <c r="R34" s="13"/>
      <c r="S34" s="16"/>
    </row>
    <row r="35" customFormat="false" ht="15" hidden="false" customHeight="false" outlineLevel="0" collapsed="false">
      <c r="A35" s="13"/>
      <c r="B35" s="13"/>
      <c r="C35" s="13"/>
      <c r="D35" s="13" t="s">
        <v>55</v>
      </c>
      <c r="E35" s="13" t="s">
        <v>56</v>
      </c>
      <c r="F35" s="13" t="s">
        <v>23</v>
      </c>
      <c r="G35" s="15" t="n">
        <f aca="false">171688/$F$124</f>
        <v>1820.65747613998</v>
      </c>
      <c r="H35" s="15"/>
      <c r="I35" s="15"/>
      <c r="J35" s="15"/>
      <c r="K35" s="13" t="s">
        <v>53</v>
      </c>
      <c r="L35" s="16" t="n">
        <v>46346</v>
      </c>
      <c r="M35" s="17"/>
      <c r="O35" s="13" t="s">
        <v>25</v>
      </c>
      <c r="P35" s="15" t="n">
        <f aca="false">123257/$F$124</f>
        <v>1307.07317073171</v>
      </c>
      <c r="Q35" s="15" t="n">
        <f aca="false">P35-G35</f>
        <v>-513.584305408272</v>
      </c>
      <c r="R35" s="13" t="s">
        <v>24</v>
      </c>
      <c r="S35" s="16" t="n">
        <v>46347</v>
      </c>
    </row>
    <row r="36" customFormat="false" ht="15" hidden="false" customHeight="false" outlineLevel="0" collapsed="false">
      <c r="A36" s="13"/>
      <c r="B36" s="13"/>
      <c r="C36" s="13"/>
      <c r="D36" s="13"/>
      <c r="E36" s="13" t="s">
        <v>57</v>
      </c>
      <c r="F36" s="13" t="s">
        <v>23</v>
      </c>
      <c r="G36" s="15" t="n">
        <f aca="false">40298/$F$124</f>
        <v>427.338282078473</v>
      </c>
      <c r="H36" s="15"/>
      <c r="I36" s="15"/>
      <c r="J36" s="15"/>
      <c r="K36" s="13" t="s">
        <v>24</v>
      </c>
      <c r="L36" s="16" t="n">
        <v>46314</v>
      </c>
      <c r="M36" s="17"/>
      <c r="O36" s="13" t="s">
        <v>25</v>
      </c>
      <c r="P36" s="15" t="n">
        <f aca="false">38486/$F$124</f>
        <v>408.123011664899</v>
      </c>
      <c r="Q36" s="15" t="n">
        <f aca="false">P36-G36</f>
        <v>-19.2152704135737</v>
      </c>
      <c r="R36" s="13" t="s">
        <v>45</v>
      </c>
      <c r="S36" s="16" t="n">
        <v>46317</v>
      </c>
    </row>
    <row r="37" customFormat="false" ht="15" hidden="false" customHeight="false" outlineLevel="0" collapsed="false">
      <c r="A37" s="18" t="s">
        <v>31</v>
      </c>
      <c r="B37" s="18" t="s">
        <v>58</v>
      </c>
      <c r="C37" s="19"/>
      <c r="D37" s="19" t="s">
        <v>59</v>
      </c>
      <c r="E37" s="19" t="s">
        <v>57</v>
      </c>
      <c r="F37" s="19" t="s">
        <v>23</v>
      </c>
      <c r="G37" s="20" t="n">
        <f aca="false">33071/$F$124</f>
        <v>350.699893955461</v>
      </c>
      <c r="H37" s="20" t="n">
        <f aca="false">G37*11.49%</f>
        <v>40.2954178154825</v>
      </c>
      <c r="I37" s="20"/>
      <c r="J37" s="21" t="n">
        <f aca="false">G37+H37+I37</f>
        <v>390.995311770944</v>
      </c>
      <c r="K37" s="19" t="s">
        <v>45</v>
      </c>
      <c r="L37" s="22" t="n">
        <v>46314</v>
      </c>
      <c r="M37" s="23"/>
      <c r="O37" s="19" t="s">
        <v>25</v>
      </c>
      <c r="P37" s="20" t="n">
        <f aca="false">34778/$F$124</f>
        <v>368.801696712619</v>
      </c>
      <c r="Q37" s="20" t="n">
        <f aca="false">P37-G37</f>
        <v>18.1018027571581</v>
      </c>
      <c r="R37" s="19" t="s">
        <v>45</v>
      </c>
      <c r="S37" s="22" t="n">
        <v>46317</v>
      </c>
    </row>
    <row r="38" customFormat="false" ht="15" hidden="false" customHeight="false" outlineLevel="0" collapsed="false">
      <c r="A38" s="18" t="s">
        <v>31</v>
      </c>
      <c r="B38" s="18" t="s">
        <v>60</v>
      </c>
      <c r="C38" s="19"/>
      <c r="D38" s="19" t="s">
        <v>61</v>
      </c>
      <c r="E38" s="19" t="s">
        <v>62</v>
      </c>
      <c r="F38" s="19" t="s">
        <v>23</v>
      </c>
      <c r="G38" s="20" t="n">
        <f aca="false">34480/$F$124</f>
        <v>365.641569459173</v>
      </c>
      <c r="H38" s="20"/>
      <c r="I38" s="20"/>
      <c r="J38" s="20"/>
      <c r="K38" s="19" t="s">
        <v>45</v>
      </c>
      <c r="L38" s="22" t="n">
        <v>46314</v>
      </c>
      <c r="M38" s="23"/>
      <c r="O38" s="19"/>
      <c r="P38" s="20"/>
      <c r="Q38" s="20"/>
      <c r="R38" s="19"/>
      <c r="S38" s="22"/>
    </row>
    <row r="39" customFormat="false" ht="15" hidden="false" customHeight="false" outlineLevel="0" collapsed="false">
      <c r="A39" s="18" t="s">
        <v>31</v>
      </c>
      <c r="B39" s="19"/>
      <c r="C39" s="19"/>
      <c r="D39" s="19"/>
      <c r="E39" s="19" t="s">
        <v>63</v>
      </c>
      <c r="F39" s="19" t="s">
        <v>49</v>
      </c>
      <c r="G39" s="20" t="n">
        <v>315</v>
      </c>
      <c r="H39" s="20" t="n">
        <f aca="false">G39*9.21%</f>
        <v>29.0115</v>
      </c>
      <c r="I39" s="20"/>
      <c r="J39" s="21" t="n">
        <f aca="false">G39+H39+I39</f>
        <v>344.0115</v>
      </c>
      <c r="K39" s="19" t="s">
        <v>45</v>
      </c>
      <c r="L39" s="22" t="n">
        <v>46287</v>
      </c>
      <c r="M39" s="23"/>
      <c r="O39" s="19"/>
      <c r="P39" s="20"/>
      <c r="Q39" s="20"/>
      <c r="R39" s="19"/>
      <c r="S39" s="22"/>
    </row>
    <row r="40" customFormat="false" ht="15" hidden="false" customHeight="false" outlineLevel="0" collapsed="false">
      <c r="A40" s="18" t="s">
        <v>31</v>
      </c>
      <c r="B40" s="19"/>
      <c r="C40" s="19"/>
      <c r="D40" s="19"/>
      <c r="E40" s="19" t="s">
        <v>64</v>
      </c>
      <c r="F40" s="19" t="s">
        <v>49</v>
      </c>
      <c r="G40" s="20" t="n">
        <v>265</v>
      </c>
      <c r="H40" s="20" t="n">
        <f aca="false">G40*13.96%</f>
        <v>36.994</v>
      </c>
      <c r="I40" s="20"/>
      <c r="J40" s="21" t="n">
        <f aca="false">G40+H40+I40</f>
        <v>301.994</v>
      </c>
      <c r="K40" s="19" t="s">
        <v>45</v>
      </c>
      <c r="L40" s="22" t="n">
        <v>46287</v>
      </c>
      <c r="M40" s="23"/>
      <c r="O40" s="19"/>
      <c r="P40" s="20"/>
      <c r="Q40" s="20"/>
      <c r="R40" s="19"/>
      <c r="S40" s="22"/>
    </row>
    <row r="41" customFormat="false" ht="15" hidden="false" customHeight="false" outlineLevel="0" collapsed="false">
      <c r="A41" s="13"/>
      <c r="B41" s="13"/>
      <c r="C41" s="13"/>
      <c r="D41" s="13"/>
      <c r="E41" s="13" t="s">
        <v>65</v>
      </c>
      <c r="F41" s="13" t="s">
        <v>49</v>
      </c>
      <c r="G41" s="15" t="n">
        <v>409</v>
      </c>
      <c r="H41" s="15"/>
      <c r="I41" s="15"/>
      <c r="J41" s="15"/>
      <c r="K41" s="13" t="s">
        <v>45</v>
      </c>
      <c r="L41" s="16" t="s">
        <v>66</v>
      </c>
      <c r="M41" s="17"/>
      <c r="O41" s="13"/>
      <c r="P41" s="15"/>
      <c r="Q41" s="15"/>
      <c r="R41" s="13"/>
      <c r="S41" s="16"/>
    </row>
    <row r="42" customFormat="false" ht="15" hidden="false" customHeight="false" outlineLevel="0" collapsed="false">
      <c r="A42" s="13"/>
      <c r="B42" s="13"/>
      <c r="C42" s="13"/>
      <c r="D42" s="13"/>
      <c r="E42" s="13" t="s">
        <v>67</v>
      </c>
      <c r="F42" s="13" t="s">
        <v>68</v>
      </c>
      <c r="G42" s="15" t="n">
        <f aca="false">30414/$F$124</f>
        <v>322.523860021209</v>
      </c>
      <c r="H42" s="15"/>
      <c r="I42" s="15"/>
      <c r="J42" s="15"/>
      <c r="K42" s="13" t="s">
        <v>24</v>
      </c>
      <c r="L42" s="16" t="n">
        <v>46345</v>
      </c>
      <c r="M42" s="17"/>
      <c r="O42" s="13" t="s">
        <v>25</v>
      </c>
      <c r="P42" s="15" t="n">
        <f aca="false">35446/$F$124</f>
        <v>375.885471898197</v>
      </c>
      <c r="Q42" s="15" t="n">
        <f aca="false">P42-G42</f>
        <v>53.3616118769883</v>
      </c>
      <c r="R42" s="13" t="s">
        <v>24</v>
      </c>
      <c r="S42" s="16" t="n">
        <v>46317</v>
      </c>
    </row>
    <row r="43" customFormat="false" ht="15" hidden="false" customHeight="false" outlineLevel="0" collapsed="false">
      <c r="A43" s="13"/>
      <c r="B43" s="13"/>
      <c r="C43" s="13"/>
      <c r="D43" s="13"/>
      <c r="E43" s="13" t="s">
        <v>69</v>
      </c>
      <c r="F43" s="13" t="s">
        <v>68</v>
      </c>
      <c r="G43" s="15" t="n">
        <f aca="false">34593/$F$124</f>
        <v>366.839872746554</v>
      </c>
      <c r="H43" s="15"/>
      <c r="I43" s="15"/>
      <c r="J43" s="15"/>
      <c r="K43" s="13" t="s">
        <v>24</v>
      </c>
      <c r="L43" s="16" t="n">
        <v>46345</v>
      </c>
      <c r="M43" s="17"/>
      <c r="O43" s="13" t="s">
        <v>25</v>
      </c>
      <c r="P43" s="15" t="n">
        <f aca="false">40304/$F$124</f>
        <v>427.401908801697</v>
      </c>
      <c r="Q43" s="15" t="n">
        <f aca="false">P43-G43</f>
        <v>60.5620360551432</v>
      </c>
      <c r="R43" s="13" t="s">
        <v>24</v>
      </c>
      <c r="S43" s="16" t="n">
        <v>46317</v>
      </c>
    </row>
    <row r="44" customFormat="false" ht="15" hidden="false" customHeight="false" outlineLevel="0" collapsed="false">
      <c r="A44" s="13"/>
      <c r="B44" s="13"/>
      <c r="C44" s="13"/>
      <c r="D44" s="13" t="s">
        <v>70</v>
      </c>
      <c r="E44" s="13" t="s">
        <v>71</v>
      </c>
      <c r="F44" s="13" t="s">
        <v>23</v>
      </c>
      <c r="G44" s="15" t="n">
        <f aca="false">34517.48/$F$124</f>
        <v>366.039024390244</v>
      </c>
      <c r="H44" s="15"/>
      <c r="I44" s="15"/>
      <c r="J44" s="15"/>
      <c r="K44" s="13" t="s">
        <v>24</v>
      </c>
      <c r="L44" s="16" t="n">
        <v>46361</v>
      </c>
      <c r="M44" s="17"/>
      <c r="O44" s="13" t="s">
        <v>25</v>
      </c>
      <c r="P44" s="15" t="n">
        <v>315</v>
      </c>
      <c r="Q44" s="15" t="n">
        <f aca="false">P44-G44</f>
        <v>-51.0390243902439</v>
      </c>
      <c r="R44" s="13" t="s">
        <v>24</v>
      </c>
      <c r="S44" s="16" t="s">
        <v>66</v>
      </c>
    </row>
    <row r="45" customFormat="false" ht="15" hidden="false" customHeight="false" outlineLevel="0" collapsed="false">
      <c r="A45" s="13"/>
      <c r="B45" s="13"/>
      <c r="C45" s="13"/>
      <c r="D45" s="13" t="s">
        <v>27</v>
      </c>
      <c r="E45" s="13" t="s">
        <v>72</v>
      </c>
      <c r="F45" s="13" t="s">
        <v>23</v>
      </c>
      <c r="G45" s="15" t="n">
        <f aca="false">18149.86/$F$124</f>
        <v>192.469353128314</v>
      </c>
      <c r="H45" s="15"/>
      <c r="I45" s="15"/>
      <c r="J45" s="15"/>
      <c r="K45" s="13" t="s">
        <v>24</v>
      </c>
      <c r="L45" s="16" t="n">
        <v>46368</v>
      </c>
      <c r="M45" s="17"/>
      <c r="O45" s="13" t="s">
        <v>25</v>
      </c>
      <c r="P45" s="15" t="n">
        <v>230</v>
      </c>
      <c r="Q45" s="15" t="n">
        <f aca="false">P45-G45</f>
        <v>37.5306468716861</v>
      </c>
      <c r="R45" s="13" t="s">
        <v>24</v>
      </c>
      <c r="S45" s="16"/>
    </row>
    <row r="48" customFormat="false" ht="15" hidden="false" customHeight="false" outlineLevel="0" collapsed="false">
      <c r="A48" s="13"/>
      <c r="B48" s="13"/>
      <c r="C48" s="13"/>
      <c r="D48" s="13"/>
      <c r="E48" s="14" t="s">
        <v>73</v>
      </c>
      <c r="F48" s="13"/>
      <c r="G48" s="13"/>
      <c r="H48" s="13"/>
      <c r="I48" s="13"/>
      <c r="J48" s="13"/>
      <c r="K48" s="13"/>
      <c r="L48" s="13"/>
      <c r="M48" s="13"/>
      <c r="O48" s="13"/>
      <c r="P48" s="13"/>
      <c r="Q48" s="13"/>
      <c r="R48" s="13"/>
      <c r="S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O49" s="13"/>
      <c r="P49" s="13"/>
      <c r="Q49" s="13"/>
      <c r="R49" s="13"/>
      <c r="S49" s="13"/>
    </row>
    <row r="50" customFormat="false" ht="15" hidden="false" customHeight="false" outlineLevel="0" collapsed="false">
      <c r="A50" s="13"/>
      <c r="B50" s="13"/>
      <c r="C50" s="13"/>
      <c r="D50" s="13" t="s">
        <v>46</v>
      </c>
      <c r="E50" s="13" t="s">
        <v>74</v>
      </c>
      <c r="F50" s="13" t="s">
        <v>23</v>
      </c>
      <c r="G50" s="15" t="n">
        <f aca="false">120321/$F$124</f>
        <v>1275.93849416755</v>
      </c>
      <c r="H50" s="15"/>
      <c r="I50" s="15"/>
      <c r="J50" s="15"/>
      <c r="K50" s="13" t="s">
        <v>24</v>
      </c>
      <c r="L50" s="16" t="n">
        <v>46372</v>
      </c>
      <c r="M50" s="17"/>
      <c r="O50" s="13" t="s">
        <v>25</v>
      </c>
      <c r="P50" s="15" t="n">
        <f aca="false">72714/$F$124</f>
        <v>771.092258748675</v>
      </c>
      <c r="Q50" s="15" t="n">
        <f aca="false">P50-G50</f>
        <v>-504.846235418876</v>
      </c>
      <c r="R50" s="13" t="s">
        <v>24</v>
      </c>
      <c r="S50" s="16" t="n">
        <v>46371</v>
      </c>
    </row>
    <row r="51" customFormat="false" ht="15" hidden="false" customHeight="false" outlineLevel="0" collapsed="false">
      <c r="A51" s="13"/>
      <c r="B51" s="13"/>
      <c r="C51" s="13"/>
      <c r="D51" s="13" t="s">
        <v>46</v>
      </c>
      <c r="E51" s="13" t="s">
        <v>75</v>
      </c>
      <c r="F51" s="13" t="s">
        <v>23</v>
      </c>
      <c r="G51" s="15" t="n">
        <f aca="false">145908/$F$124</f>
        <v>1547.27465535525</v>
      </c>
      <c r="H51" s="15"/>
      <c r="I51" s="15"/>
      <c r="J51" s="15"/>
      <c r="K51" s="13" t="s">
        <v>24</v>
      </c>
      <c r="L51" s="16" t="n">
        <v>46374</v>
      </c>
      <c r="M51" s="17"/>
      <c r="O51" s="13" t="s">
        <v>25</v>
      </c>
      <c r="P51" s="15" t="n">
        <f aca="false">72714/$F$124</f>
        <v>771.092258748675</v>
      </c>
      <c r="Q51" s="15" t="n">
        <f aca="false">P51-G51</f>
        <v>-776.182396606575</v>
      </c>
      <c r="R51" s="13" t="s">
        <v>24</v>
      </c>
      <c r="S51" s="16" t="n">
        <v>46371</v>
      </c>
    </row>
    <row r="52" customFormat="false" ht="15" hidden="false" customHeight="false" outlineLevel="0" collapsed="false">
      <c r="A52" s="13"/>
      <c r="B52" s="13"/>
      <c r="C52" s="13"/>
      <c r="D52" s="13"/>
      <c r="E52" s="13" t="s">
        <v>76</v>
      </c>
      <c r="F52" s="13" t="s">
        <v>23</v>
      </c>
      <c r="G52" s="15" t="n">
        <f aca="false">82090/$F$124</f>
        <v>870.519618239661</v>
      </c>
      <c r="H52" s="15"/>
      <c r="I52" s="15"/>
      <c r="J52" s="15"/>
      <c r="K52" s="13" t="s">
        <v>45</v>
      </c>
      <c r="L52" s="16" t="s">
        <v>66</v>
      </c>
      <c r="M52" s="17"/>
      <c r="O52" s="13" t="s">
        <v>25</v>
      </c>
      <c r="P52" s="15" t="n">
        <f aca="false">87568/$F$124</f>
        <v>928.610816542948</v>
      </c>
      <c r="Q52" s="15" t="n">
        <f aca="false">P52-G52</f>
        <v>58.0911983032875</v>
      </c>
      <c r="R52" s="13" t="s">
        <v>45</v>
      </c>
      <c r="S52" s="16" t="n">
        <v>46371</v>
      </c>
    </row>
    <row r="53" customFormat="false" ht="15" hidden="false" customHeight="false" outlineLevel="0" collapsed="false">
      <c r="A53" s="13"/>
      <c r="B53" s="13"/>
      <c r="C53" s="13"/>
      <c r="D53" s="13"/>
      <c r="E53" s="13" t="s">
        <v>74</v>
      </c>
      <c r="F53" s="13" t="s">
        <v>23</v>
      </c>
      <c r="G53" s="15" t="n">
        <f aca="false">72893/$F$124</f>
        <v>772.990455991517</v>
      </c>
      <c r="H53" s="15"/>
      <c r="I53" s="15"/>
      <c r="J53" s="15"/>
      <c r="K53" s="13" t="s">
        <v>45</v>
      </c>
      <c r="L53" s="16" t="s">
        <v>66</v>
      </c>
      <c r="M53" s="17"/>
      <c r="O53" s="13" t="s">
        <v>25</v>
      </c>
      <c r="P53" s="15" t="n">
        <f aca="false">77757/$F$124</f>
        <v>824.57051961824</v>
      </c>
      <c r="Q53" s="15" t="n">
        <f aca="false">P53-G53</f>
        <v>51.5800636267232</v>
      </c>
      <c r="R53" s="13" t="s">
        <v>45</v>
      </c>
      <c r="S53" s="16" t="n">
        <v>46371</v>
      </c>
    </row>
    <row r="54" customFormat="false" ht="15" hidden="false" customHeight="false" outlineLevel="0" collapsed="false">
      <c r="A54" s="13"/>
      <c r="B54" s="13"/>
      <c r="C54" s="13"/>
      <c r="D54" s="13"/>
      <c r="E54" s="13" t="s">
        <v>76</v>
      </c>
      <c r="F54" s="13" t="s">
        <v>49</v>
      </c>
      <c r="G54" s="15" t="n">
        <v>937</v>
      </c>
      <c r="H54" s="15"/>
      <c r="I54" s="15"/>
      <c r="J54" s="15"/>
      <c r="K54" s="13" t="s">
        <v>45</v>
      </c>
      <c r="L54" s="16" t="s">
        <v>77</v>
      </c>
      <c r="M54" s="17"/>
      <c r="O54" s="13"/>
      <c r="P54" s="15"/>
      <c r="Q54" s="15"/>
      <c r="R54" s="13"/>
      <c r="S54" s="16"/>
    </row>
    <row r="55" customFormat="false" ht="15" hidden="false" customHeight="false" outlineLevel="0" collapsed="false">
      <c r="A55" s="13"/>
      <c r="B55" s="13"/>
      <c r="C55" s="13"/>
      <c r="D55" s="13"/>
      <c r="E55" s="13" t="s">
        <v>74</v>
      </c>
      <c r="F55" s="13" t="s">
        <v>49</v>
      </c>
      <c r="G55" s="15" t="n">
        <v>1010</v>
      </c>
      <c r="H55" s="15"/>
      <c r="I55" s="15"/>
      <c r="J55" s="15"/>
      <c r="K55" s="13" t="s">
        <v>45</v>
      </c>
      <c r="L55" s="16" t="s">
        <v>77</v>
      </c>
      <c r="M55" s="17"/>
      <c r="O55" s="13"/>
      <c r="P55" s="15"/>
      <c r="Q55" s="15"/>
      <c r="R55" s="13"/>
      <c r="S55" s="16"/>
    </row>
    <row r="56" customFormat="false" ht="15" hidden="false" customHeight="false" outlineLevel="0" collapsed="false">
      <c r="A56" s="18" t="s">
        <v>31</v>
      </c>
      <c r="B56" s="18" t="s">
        <v>78</v>
      </c>
      <c r="C56" s="19"/>
      <c r="D56" s="19"/>
      <c r="E56" s="19" t="s">
        <v>79</v>
      </c>
      <c r="F56" s="19" t="s">
        <v>80</v>
      </c>
      <c r="G56" s="20" t="n">
        <v>548.55</v>
      </c>
      <c r="H56" s="20" t="n">
        <f aca="false">G56*62.06%</f>
        <v>340.43013</v>
      </c>
      <c r="I56" s="20"/>
      <c r="J56" s="21" t="n">
        <f aca="false">G56+H56+I56</f>
        <v>888.98013</v>
      </c>
      <c r="K56" s="19" t="s">
        <v>45</v>
      </c>
      <c r="L56" s="22" t="n">
        <v>46346</v>
      </c>
      <c r="M56" s="23"/>
      <c r="O56" s="19"/>
      <c r="P56" s="20"/>
      <c r="Q56" s="20"/>
      <c r="R56" s="19"/>
      <c r="S56" s="22"/>
    </row>
    <row r="57" customFormat="false" ht="15" hidden="false" customHeight="false" outlineLevel="0" collapsed="false">
      <c r="A57" s="18" t="s">
        <v>31</v>
      </c>
      <c r="B57" s="18" t="s">
        <v>81</v>
      </c>
      <c r="C57" s="19"/>
      <c r="D57" s="19"/>
      <c r="E57" s="19" t="s">
        <v>82</v>
      </c>
      <c r="F57" s="19" t="s">
        <v>80</v>
      </c>
      <c r="G57" s="20" t="n">
        <v>550</v>
      </c>
      <c r="H57" s="20" t="n">
        <f aca="false">G57*61.64%</f>
        <v>339.02</v>
      </c>
      <c r="I57" s="20"/>
      <c r="J57" s="21" t="n">
        <f aca="false">G57+H57+I57</f>
        <v>889.02</v>
      </c>
      <c r="K57" s="19" t="s">
        <v>45</v>
      </c>
      <c r="L57" s="22" t="n">
        <v>46346</v>
      </c>
      <c r="M57" s="23"/>
      <c r="O57" s="19"/>
      <c r="P57" s="20"/>
      <c r="Q57" s="20"/>
      <c r="R57" s="19"/>
      <c r="S57" s="22"/>
    </row>
    <row r="58" customFormat="false" ht="15" hidden="false" customHeight="false" outlineLevel="0" collapsed="false">
      <c r="A58" s="18" t="s">
        <v>31</v>
      </c>
      <c r="B58" s="18" t="s">
        <v>81</v>
      </c>
      <c r="C58" s="19"/>
      <c r="D58" s="19"/>
      <c r="E58" s="19" t="s">
        <v>83</v>
      </c>
      <c r="F58" s="19" t="s">
        <v>80</v>
      </c>
      <c r="G58" s="20" t="n">
        <v>859.05</v>
      </c>
      <c r="H58" s="20" t="n">
        <f aca="false">G58*27.47%</f>
        <v>235.981035</v>
      </c>
      <c r="I58" s="20"/>
      <c r="J58" s="21" t="n">
        <f aca="false">G58+H58+I58</f>
        <v>1095.031035</v>
      </c>
      <c r="K58" s="19" t="s">
        <v>45</v>
      </c>
      <c r="L58" s="22" t="n">
        <v>46346</v>
      </c>
      <c r="M58" s="23"/>
      <c r="O58" s="19"/>
      <c r="P58" s="20"/>
      <c r="Q58" s="20"/>
      <c r="R58" s="19"/>
      <c r="S58" s="22"/>
    </row>
    <row r="59" customFormat="false" ht="15" hidden="false" customHeight="false" outlineLevel="0" collapsed="false">
      <c r="A59" s="13"/>
      <c r="B59" s="13"/>
      <c r="C59" s="13"/>
      <c r="D59" s="13"/>
      <c r="E59" s="13" t="s">
        <v>75</v>
      </c>
      <c r="F59" s="13" t="s">
        <v>80</v>
      </c>
      <c r="G59" s="15" t="n">
        <v>1000</v>
      </c>
      <c r="H59" s="15"/>
      <c r="I59" s="15"/>
      <c r="J59" s="15"/>
      <c r="K59" s="13"/>
      <c r="L59" s="16"/>
      <c r="M59" s="17"/>
      <c r="O59" s="13"/>
      <c r="P59" s="15"/>
      <c r="Q59" s="15"/>
      <c r="R59" s="13"/>
      <c r="S59" s="16"/>
    </row>
    <row r="60" customFormat="false" ht="15" hidden="false" customHeight="false" outlineLevel="0" collapsed="false">
      <c r="A60" s="13"/>
      <c r="B60" s="13"/>
      <c r="C60" s="13"/>
      <c r="D60" s="13"/>
      <c r="E60" s="13" t="s">
        <v>84</v>
      </c>
      <c r="F60" s="13" t="s">
        <v>80</v>
      </c>
      <c r="G60" s="15" t="n">
        <v>838.35</v>
      </c>
      <c r="H60" s="15"/>
      <c r="I60" s="15"/>
      <c r="J60" s="15"/>
      <c r="K60" s="13" t="s">
        <v>45</v>
      </c>
      <c r="L60" s="16"/>
      <c r="M60" s="17"/>
      <c r="O60" s="13"/>
      <c r="P60" s="15"/>
      <c r="Q60" s="15"/>
      <c r="R60" s="13"/>
      <c r="S60" s="16"/>
    </row>
    <row r="61" customFormat="false" ht="15" hidden="false" customHeight="false" outlineLevel="0" collapsed="false">
      <c r="A61" s="13"/>
      <c r="B61" s="13"/>
      <c r="C61" s="13"/>
      <c r="D61" s="13"/>
      <c r="E61" s="13" t="s">
        <v>84</v>
      </c>
      <c r="F61" s="13" t="s">
        <v>49</v>
      </c>
      <c r="G61" s="15" t="n">
        <v>1095</v>
      </c>
      <c r="H61" s="15"/>
      <c r="I61" s="15"/>
      <c r="J61" s="15"/>
      <c r="K61" s="13" t="s">
        <v>45</v>
      </c>
      <c r="L61" s="16"/>
      <c r="M61" s="17"/>
      <c r="O61" s="13"/>
      <c r="P61" s="15"/>
      <c r="Q61" s="15"/>
      <c r="R61" s="13"/>
      <c r="S61" s="16"/>
    </row>
    <row r="62" customFormat="false" ht="15" hidden="false" customHeight="false" outlineLevel="0" collapsed="false">
      <c r="A62" s="13"/>
      <c r="B62" s="13"/>
      <c r="C62" s="13"/>
      <c r="D62" s="13"/>
      <c r="E62" s="13" t="s">
        <v>85</v>
      </c>
      <c r="F62" s="13" t="s">
        <v>80</v>
      </c>
      <c r="G62" s="15" t="n">
        <v>859.05</v>
      </c>
      <c r="H62" s="15"/>
      <c r="I62" s="15"/>
      <c r="J62" s="15"/>
      <c r="K62" s="13" t="s">
        <v>45</v>
      </c>
      <c r="L62" s="16"/>
      <c r="M62" s="17"/>
      <c r="O62" s="13"/>
      <c r="P62" s="15"/>
      <c r="Q62" s="15"/>
      <c r="R62" s="13"/>
      <c r="S62" s="16"/>
    </row>
    <row r="63" customFormat="false" ht="15" hidden="false" customHeight="false" outlineLevel="0" collapsed="false">
      <c r="A63" s="13"/>
      <c r="B63" s="13"/>
      <c r="C63" s="13"/>
      <c r="D63" s="13"/>
      <c r="E63" s="13" t="s">
        <v>85</v>
      </c>
      <c r="F63" s="13" t="s">
        <v>49</v>
      </c>
      <c r="G63" s="15" t="n">
        <v>1095</v>
      </c>
      <c r="H63" s="15"/>
      <c r="I63" s="15"/>
      <c r="J63" s="15"/>
      <c r="K63" s="13" t="s">
        <v>45</v>
      </c>
      <c r="L63" s="16"/>
      <c r="M63" s="17"/>
      <c r="O63" s="13"/>
      <c r="P63" s="15"/>
      <c r="Q63" s="15"/>
      <c r="R63" s="13"/>
      <c r="S63" s="16"/>
    </row>
    <row r="64" customFormat="false" ht="15" hidden="false" customHeight="false" outlineLevel="0" collapsed="false">
      <c r="A64" s="13"/>
      <c r="B64" s="13"/>
      <c r="C64" s="13"/>
      <c r="D64" s="13" t="n">
        <f aca="false">1095*2</f>
        <v>2190</v>
      </c>
      <c r="E64" s="13" t="s">
        <v>86</v>
      </c>
      <c r="F64" s="13" t="s">
        <v>80</v>
      </c>
      <c r="G64" s="15" t="n">
        <v>724.5</v>
      </c>
      <c r="H64" s="15"/>
      <c r="I64" s="15"/>
      <c r="J64" s="15"/>
      <c r="K64" s="13" t="s">
        <v>45</v>
      </c>
      <c r="L64" s="16"/>
      <c r="M64" s="17"/>
      <c r="O64" s="13"/>
      <c r="P64" s="15"/>
      <c r="Q64" s="15"/>
      <c r="R64" s="13"/>
      <c r="S64" s="16"/>
    </row>
    <row r="65" customFormat="false" ht="15" hidden="false" customHeight="false" outlineLevel="0" collapsed="false">
      <c r="A65" s="13"/>
      <c r="B65" s="13"/>
      <c r="C65" s="13"/>
      <c r="D65" s="13"/>
      <c r="E65" s="13" t="s">
        <v>86</v>
      </c>
      <c r="F65" s="13" t="s">
        <v>49</v>
      </c>
      <c r="G65" s="15" t="n">
        <v>1007</v>
      </c>
      <c r="H65" s="15"/>
      <c r="I65" s="15"/>
      <c r="J65" s="15"/>
      <c r="K65" s="13" t="s">
        <v>45</v>
      </c>
      <c r="L65" s="16"/>
      <c r="M65" s="17"/>
      <c r="O65" s="13"/>
      <c r="P65" s="15"/>
      <c r="Q65" s="15"/>
      <c r="R65" s="13"/>
      <c r="S65" s="16"/>
    </row>
    <row r="66" customFormat="false" ht="15" hidden="false" customHeight="false" outlineLevel="0" collapsed="false">
      <c r="A66" s="13"/>
      <c r="B66" s="13"/>
      <c r="C66" s="13"/>
      <c r="D66" s="13"/>
      <c r="E66" s="13" t="s">
        <v>87</v>
      </c>
      <c r="F66" s="13" t="s">
        <v>80</v>
      </c>
      <c r="G66" s="15" t="n">
        <v>745.2</v>
      </c>
      <c r="H66" s="15"/>
      <c r="I66" s="15"/>
      <c r="J66" s="15"/>
      <c r="K66" s="13" t="s">
        <v>45</v>
      </c>
      <c r="L66" s="16"/>
      <c r="M66" s="17"/>
      <c r="O66" s="13"/>
      <c r="P66" s="15"/>
      <c r="Q66" s="15"/>
      <c r="R66" s="13"/>
      <c r="S66" s="16"/>
    </row>
    <row r="67" customFormat="false" ht="15" hidden="false" customHeight="false" outlineLevel="0" collapsed="false">
      <c r="A67" s="13"/>
      <c r="B67" s="13"/>
      <c r="C67" s="13"/>
      <c r="D67" s="13"/>
      <c r="E67" s="13" t="s">
        <v>87</v>
      </c>
      <c r="F67" s="13" t="s">
        <v>49</v>
      </c>
      <c r="G67" s="15" t="n">
        <v>1120</v>
      </c>
      <c r="H67" s="15"/>
      <c r="I67" s="15"/>
      <c r="J67" s="15"/>
      <c r="K67" s="13" t="s">
        <v>45</v>
      </c>
      <c r="L67" s="16"/>
      <c r="M67" s="17"/>
      <c r="O67" s="13"/>
      <c r="P67" s="15"/>
      <c r="Q67" s="15"/>
      <c r="R67" s="13"/>
      <c r="S67" s="16"/>
    </row>
    <row r="68" customFormat="false" ht="15" hidden="false" customHeight="false" outlineLevel="0" collapsed="false">
      <c r="A68" s="13"/>
      <c r="B68" s="13"/>
      <c r="C68" s="13"/>
      <c r="D68" s="13" t="s">
        <v>70</v>
      </c>
      <c r="E68" s="13" t="s">
        <v>88</v>
      </c>
      <c r="F68" s="13" t="s">
        <v>23</v>
      </c>
      <c r="G68" s="15" t="n">
        <f aca="false">80648/$F$124</f>
        <v>855.227995758219</v>
      </c>
      <c r="H68" s="15"/>
      <c r="I68" s="15"/>
      <c r="J68" s="15"/>
      <c r="K68" s="13" t="s">
        <v>24</v>
      </c>
      <c r="L68" s="16" t="n">
        <v>46355</v>
      </c>
      <c r="M68" s="17"/>
      <c r="O68" s="13" t="s">
        <v>25</v>
      </c>
      <c r="P68" s="15" t="n">
        <f aca="false">82525/$F$124</f>
        <v>875.132555673383</v>
      </c>
      <c r="Q68" s="15" t="n">
        <f aca="false">P68-G68</f>
        <v>19.9045599151643</v>
      </c>
      <c r="R68" s="13" t="s">
        <v>24</v>
      </c>
      <c r="S68" s="16" t="n">
        <v>46371</v>
      </c>
    </row>
    <row r="69" customFormat="false" ht="15" hidden="false" customHeight="false" outlineLevel="0" collapsed="false">
      <c r="A69" s="13"/>
      <c r="B69" s="13"/>
      <c r="C69" s="13"/>
      <c r="D69" s="13" t="s">
        <v>42</v>
      </c>
      <c r="E69" s="13" t="s">
        <v>89</v>
      </c>
      <c r="F69" s="13" t="s">
        <v>23</v>
      </c>
      <c r="G69" s="15" t="n">
        <f aca="false">94994/$F$124</f>
        <v>1007.35949098621</v>
      </c>
      <c r="H69" s="15"/>
      <c r="I69" s="15"/>
      <c r="J69" s="15"/>
      <c r="K69" s="13" t="s">
        <v>45</v>
      </c>
      <c r="L69" s="16" t="n">
        <v>46372</v>
      </c>
      <c r="M69" s="17"/>
      <c r="O69" s="13" t="s">
        <v>25</v>
      </c>
      <c r="P69" s="15" t="n">
        <f aca="false">106237/$F$124</f>
        <v>1126.58536585366</v>
      </c>
      <c r="Q69" s="15" t="n">
        <f aca="false">P69-G69</f>
        <v>119.225874867444</v>
      </c>
      <c r="R69" s="13" t="s">
        <v>45</v>
      </c>
      <c r="S69" s="16" t="n">
        <v>46276</v>
      </c>
    </row>
    <row r="70" customFormat="false" ht="15" hidden="false" customHeight="false" outlineLevel="0" collapsed="false">
      <c r="A70" s="13"/>
      <c r="B70" s="13"/>
      <c r="C70" s="13"/>
      <c r="D70" s="13" t="s">
        <v>42</v>
      </c>
      <c r="E70" s="13" t="s">
        <v>90</v>
      </c>
      <c r="F70" s="13" t="s">
        <v>23</v>
      </c>
      <c r="G70" s="15" t="n">
        <v>1362</v>
      </c>
      <c r="H70" s="15"/>
      <c r="I70" s="15"/>
      <c r="J70" s="15"/>
      <c r="K70" s="13" t="s">
        <v>45</v>
      </c>
      <c r="L70" s="16"/>
      <c r="M70" s="17"/>
      <c r="O70" s="13" t="s">
        <v>25</v>
      </c>
      <c r="P70" s="15" t="n">
        <v>1447</v>
      </c>
      <c r="Q70" s="15" t="n">
        <f aca="false">P70-G70</f>
        <v>85</v>
      </c>
      <c r="R70" s="13" t="s">
        <v>45</v>
      </c>
      <c r="S70" s="16"/>
    </row>
    <row r="71" customFormat="false" ht="15" hidden="false" customHeight="false" outlineLevel="0" collapsed="false">
      <c r="A71" s="13"/>
      <c r="B71" s="13"/>
      <c r="C71" s="13"/>
      <c r="D71" s="13" t="s">
        <v>55</v>
      </c>
      <c r="E71" s="13" t="s">
        <v>91</v>
      </c>
      <c r="F71" s="13" t="s">
        <v>23</v>
      </c>
      <c r="G71" s="15" t="n">
        <f aca="false">253060/$F$124</f>
        <v>2683.56309650053</v>
      </c>
      <c r="H71" s="15"/>
      <c r="I71" s="15"/>
      <c r="J71" s="15"/>
      <c r="K71" s="13" t="s">
        <v>53</v>
      </c>
      <c r="L71" s="16" t="n">
        <v>46318</v>
      </c>
      <c r="M71" s="17"/>
      <c r="O71" s="13" t="s">
        <v>25</v>
      </c>
      <c r="P71" s="15" t="n">
        <f aca="false">281202/$F$124</f>
        <v>2981.99363732768</v>
      </c>
      <c r="Q71" s="15" t="n">
        <f aca="false">P71-G71</f>
        <v>298.430540827148</v>
      </c>
      <c r="R71" s="13" t="s">
        <v>53</v>
      </c>
      <c r="S71" s="16" t="n">
        <v>46348</v>
      </c>
    </row>
    <row r="72" customFormat="false" ht="15" hidden="false" customHeight="false" outlineLevel="0" collapsed="false">
      <c r="A72" s="13"/>
      <c r="B72" s="13"/>
      <c r="C72" s="13"/>
      <c r="D72" s="13"/>
      <c r="E72" s="13" t="s">
        <v>92</v>
      </c>
      <c r="F72" s="13" t="s">
        <v>23</v>
      </c>
      <c r="G72" s="15" t="n">
        <f aca="false">228431/$F$124</f>
        <v>2422.38600212089</v>
      </c>
      <c r="H72" s="15"/>
      <c r="I72" s="15"/>
      <c r="J72" s="15"/>
      <c r="K72" s="13" t="s">
        <v>53</v>
      </c>
      <c r="L72" s="16" t="n">
        <v>46318</v>
      </c>
      <c r="M72" s="17"/>
      <c r="O72" s="13" t="s">
        <v>25</v>
      </c>
      <c r="P72" s="15" t="n">
        <f aca="false">253834/$F$124</f>
        <v>2691.77094379639</v>
      </c>
      <c r="Q72" s="15" t="n">
        <f aca="false">P72-G72</f>
        <v>269.384941675504</v>
      </c>
      <c r="R72" s="13" t="s">
        <v>53</v>
      </c>
      <c r="S72" s="16" t="n">
        <v>46348</v>
      </c>
    </row>
    <row r="73" customFormat="false" ht="15" hidden="false" customHeight="false" outlineLevel="0" collapsed="false">
      <c r="A73" s="13"/>
      <c r="B73" s="13"/>
      <c r="C73" s="13"/>
      <c r="D73" s="13" t="s">
        <v>27</v>
      </c>
      <c r="E73" s="13" t="s">
        <v>93</v>
      </c>
      <c r="F73" s="13" t="s">
        <v>23</v>
      </c>
      <c r="G73" s="15" t="n">
        <v>752</v>
      </c>
      <c r="H73" s="15"/>
      <c r="I73" s="15"/>
      <c r="J73" s="15"/>
      <c r="K73" s="13" t="s">
        <v>24</v>
      </c>
      <c r="L73" s="16" t="n">
        <v>46374</v>
      </c>
      <c r="M73" s="17"/>
      <c r="O73" s="13" t="s">
        <v>25</v>
      </c>
      <c r="P73" s="15" t="n">
        <v>923</v>
      </c>
      <c r="Q73" s="15" t="n">
        <f aca="false">P73-G73</f>
        <v>171</v>
      </c>
      <c r="R73" s="13" t="s">
        <v>24</v>
      </c>
      <c r="S73" s="16"/>
    </row>
    <row r="74" customFormat="false" ht="15" hidden="false" customHeight="false" outlineLevel="0" collapsed="false">
      <c r="A74" s="13"/>
      <c r="B74" s="13"/>
      <c r="C74" s="13"/>
      <c r="D74" s="13"/>
      <c r="E74" s="13" t="s">
        <v>94</v>
      </c>
      <c r="F74" s="13" t="s">
        <v>49</v>
      </c>
      <c r="G74" s="15" t="n">
        <v>766</v>
      </c>
      <c r="H74" s="15"/>
      <c r="I74" s="15"/>
      <c r="J74" s="15"/>
      <c r="K74" s="13"/>
      <c r="L74" s="16"/>
      <c r="M74" s="17"/>
      <c r="O74" s="13"/>
      <c r="P74" s="15"/>
      <c r="Q74" s="15"/>
      <c r="R74" s="13"/>
      <c r="S74" s="16"/>
    </row>
    <row r="77" customFormat="false" ht="15" hidden="false" customHeight="false" outlineLevel="0" collapsed="false">
      <c r="A77" s="13"/>
      <c r="B77" s="13"/>
      <c r="C77" s="13"/>
      <c r="D77" s="13"/>
      <c r="E77" s="14" t="s">
        <v>95</v>
      </c>
      <c r="F77" s="13"/>
      <c r="G77" s="13"/>
      <c r="H77" s="13"/>
      <c r="I77" s="13"/>
      <c r="J77" s="13"/>
      <c r="K77" s="13"/>
      <c r="L77" s="13"/>
      <c r="M77" s="13"/>
      <c r="O77" s="13"/>
      <c r="P77" s="13"/>
      <c r="Q77" s="13"/>
      <c r="R77" s="13"/>
      <c r="S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O78" s="13"/>
      <c r="P78" s="13"/>
      <c r="Q78" s="13"/>
      <c r="R78" s="13"/>
      <c r="S78" s="13"/>
    </row>
    <row r="79" customFormat="false" ht="15" hidden="false" customHeight="false" outlineLevel="0" collapsed="false">
      <c r="A79" s="13"/>
      <c r="B79" s="13"/>
      <c r="C79" s="13"/>
      <c r="D79" s="13" t="s">
        <v>27</v>
      </c>
      <c r="E79" s="13" t="s">
        <v>96</v>
      </c>
      <c r="F79" s="13" t="s">
        <v>23</v>
      </c>
      <c r="G79" s="15" t="n">
        <f aca="false">88523/$F$124</f>
        <v>938.738069989396</v>
      </c>
      <c r="H79" s="15"/>
      <c r="I79" s="15"/>
      <c r="J79" s="15"/>
      <c r="K79" s="13" t="s">
        <v>45</v>
      </c>
      <c r="L79" s="16" t="n">
        <v>46373</v>
      </c>
      <c r="M79" s="17"/>
      <c r="O79" s="13" t="s">
        <v>25</v>
      </c>
      <c r="P79" s="15" t="n">
        <v>1461</v>
      </c>
      <c r="Q79" s="15" t="n">
        <f aca="false">P79-G79</f>
        <v>522.261930010604</v>
      </c>
      <c r="R79" s="13" t="s">
        <v>45</v>
      </c>
      <c r="S79" s="16" t="n">
        <v>46378</v>
      </c>
    </row>
    <row r="80" customFormat="false" ht="15" hidden="false" customHeight="false" outlineLevel="0" collapsed="false">
      <c r="A80" s="13"/>
      <c r="B80" s="13"/>
      <c r="C80" s="13"/>
      <c r="D80" s="13" t="s">
        <v>42</v>
      </c>
      <c r="E80" s="13" t="s">
        <v>97</v>
      </c>
      <c r="F80" s="13" t="s">
        <v>23</v>
      </c>
      <c r="G80" s="15" t="n">
        <f aca="false">175141/$F$124</f>
        <v>1857.27465535525</v>
      </c>
      <c r="H80" s="15"/>
      <c r="I80" s="15"/>
      <c r="J80" s="15"/>
      <c r="K80" s="13" t="s">
        <v>24</v>
      </c>
      <c r="L80" s="16" t="n">
        <v>46369</v>
      </c>
      <c r="M80" s="17"/>
      <c r="O80" s="13" t="s">
        <v>25</v>
      </c>
      <c r="P80" s="15" t="n">
        <f aca="false">214556/$F$124</f>
        <v>2275.24920466596</v>
      </c>
      <c r="Q80" s="15" t="n">
        <f aca="false">P80-G80</f>
        <v>417.974549310711</v>
      </c>
      <c r="R80" s="13" t="s">
        <v>24</v>
      </c>
      <c r="S80" s="16" t="n">
        <v>46349</v>
      </c>
    </row>
    <row r="81" customFormat="false" ht="15" hidden="false" customHeight="false" outlineLevel="0" collapsed="false">
      <c r="A81" s="13"/>
      <c r="B81" s="13"/>
      <c r="C81" s="13"/>
      <c r="D81" s="13"/>
      <c r="E81" s="13" t="s">
        <v>98</v>
      </c>
      <c r="F81" s="13" t="s">
        <v>49</v>
      </c>
      <c r="G81" s="15" t="n">
        <v>1283</v>
      </c>
      <c r="H81" s="15"/>
      <c r="I81" s="15"/>
      <c r="J81" s="15"/>
      <c r="K81" s="13" t="s">
        <v>24</v>
      </c>
      <c r="L81" s="16" t="s">
        <v>66</v>
      </c>
      <c r="M81" s="17"/>
      <c r="O81" s="13" t="s">
        <v>25</v>
      </c>
      <c r="P81" s="15" t="n">
        <f aca="false">128233/$F$124</f>
        <v>1359.84093319194</v>
      </c>
      <c r="Q81" s="15" t="n">
        <f aca="false">P81-G81</f>
        <v>76.8409331919406</v>
      </c>
      <c r="R81" s="13" t="s">
        <v>24</v>
      </c>
      <c r="S81" s="16" t="n">
        <v>46373</v>
      </c>
    </row>
    <row r="82" customFormat="false" ht="15" hidden="false" customHeight="false" outlineLevel="0" collapsed="false">
      <c r="A82" s="18" t="s">
        <v>31</v>
      </c>
      <c r="B82" s="19"/>
      <c r="C82" s="19"/>
      <c r="D82" s="19" t="s">
        <v>99</v>
      </c>
      <c r="E82" s="19" t="s">
        <v>100</v>
      </c>
      <c r="F82" s="19" t="s">
        <v>80</v>
      </c>
      <c r="G82" s="20" t="n">
        <v>1019.88</v>
      </c>
      <c r="H82" s="20" t="n">
        <f aca="false">G82*15.11%</f>
        <v>154.103868</v>
      </c>
      <c r="I82" s="20"/>
      <c r="J82" s="21" t="n">
        <f aca="false">G82+H82+I82</f>
        <v>1173.983868</v>
      </c>
      <c r="K82" s="19" t="s">
        <v>45</v>
      </c>
      <c r="L82" s="22" t="n">
        <v>46320</v>
      </c>
      <c r="M82" s="23"/>
      <c r="O82" s="19"/>
      <c r="P82" s="20"/>
      <c r="Q82" s="20"/>
      <c r="R82" s="19"/>
      <c r="S82" s="22"/>
    </row>
    <row r="83" customFormat="false" ht="15" hidden="false" customHeight="false" outlineLevel="0" collapsed="false">
      <c r="A83" s="18" t="s">
        <v>31</v>
      </c>
      <c r="B83" s="19"/>
      <c r="C83" s="19"/>
      <c r="D83" s="19" t="s">
        <v>99</v>
      </c>
      <c r="E83" s="19" t="s">
        <v>101</v>
      </c>
      <c r="F83" s="19" t="s">
        <v>80</v>
      </c>
      <c r="G83" s="20" t="n">
        <v>1066</v>
      </c>
      <c r="H83" s="20" t="n">
        <f aca="false">G83*15.1%</f>
        <v>160.966</v>
      </c>
      <c r="I83" s="20"/>
      <c r="J83" s="21" t="n">
        <f aca="false">G83+H83+I83</f>
        <v>1226.966</v>
      </c>
      <c r="K83" s="19" t="s">
        <v>45</v>
      </c>
      <c r="L83" s="22" t="n">
        <v>46320</v>
      </c>
      <c r="M83" s="23"/>
      <c r="O83" s="19"/>
      <c r="P83" s="20"/>
      <c r="Q83" s="20"/>
      <c r="R83" s="19"/>
      <c r="S83" s="22"/>
    </row>
    <row r="84" customFormat="false" ht="15" hidden="false" customHeight="false" outlineLevel="0" collapsed="false">
      <c r="A84" s="13"/>
      <c r="B84" s="13"/>
      <c r="C84" s="13"/>
      <c r="D84" s="13"/>
      <c r="E84" s="13" t="s">
        <v>102</v>
      </c>
      <c r="F84" s="13" t="s">
        <v>49</v>
      </c>
      <c r="G84" s="15" t="n">
        <v>1385</v>
      </c>
      <c r="H84" s="15"/>
      <c r="I84" s="15"/>
      <c r="J84" s="15"/>
      <c r="K84" s="13" t="s">
        <v>24</v>
      </c>
      <c r="L84" s="16" t="s">
        <v>66</v>
      </c>
      <c r="M84" s="17"/>
      <c r="O84" s="13" t="s">
        <v>25</v>
      </c>
      <c r="P84" s="15" t="n">
        <f aca="false">138380/$F$124</f>
        <v>1467.44432661718</v>
      </c>
      <c r="Q84" s="15" t="n">
        <f aca="false">P84-G84</f>
        <v>82.4443266171793</v>
      </c>
      <c r="R84" s="13" t="s">
        <v>24</v>
      </c>
      <c r="S84" s="16" t="n">
        <v>46373</v>
      </c>
    </row>
    <row r="87" customFormat="false" ht="15" hidden="false" customHeight="false" outlineLevel="0" collapsed="false">
      <c r="A87" s="13"/>
      <c r="B87" s="13"/>
      <c r="C87" s="13"/>
      <c r="D87" s="13"/>
      <c r="E87" s="14" t="s">
        <v>103</v>
      </c>
      <c r="F87" s="13"/>
      <c r="G87" s="13"/>
      <c r="H87" s="13"/>
      <c r="I87" s="13"/>
      <c r="J87" s="13"/>
      <c r="K87" s="13"/>
      <c r="L87" s="13"/>
      <c r="M87" s="13"/>
      <c r="O87" s="13"/>
      <c r="P87" s="13"/>
      <c r="Q87" s="13"/>
      <c r="R87" s="13"/>
      <c r="S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O88" s="13"/>
      <c r="P88" s="13"/>
      <c r="Q88" s="13"/>
      <c r="R88" s="13"/>
      <c r="S88" s="13"/>
    </row>
    <row r="89" customFormat="false" ht="15" hidden="false" customHeight="false" outlineLevel="0" collapsed="false">
      <c r="A89" s="13"/>
      <c r="B89" s="13"/>
      <c r="C89" s="13"/>
      <c r="D89" s="13" t="s">
        <v>27</v>
      </c>
      <c r="E89" s="13" t="s">
        <v>104</v>
      </c>
      <c r="F89" s="13" t="s">
        <v>23</v>
      </c>
      <c r="G89" s="15" t="n">
        <f aca="false">405176/$F$124</f>
        <v>4296.67020148462</v>
      </c>
      <c r="H89" s="15"/>
      <c r="I89" s="15"/>
      <c r="J89" s="15"/>
      <c r="K89" s="13" t="s">
        <v>24</v>
      </c>
      <c r="L89" s="16" t="s">
        <v>66</v>
      </c>
      <c r="M89" s="17"/>
      <c r="O89" s="13" t="s">
        <v>25</v>
      </c>
      <c r="P89" s="15" t="n">
        <v>4474</v>
      </c>
      <c r="Q89" s="15" t="n">
        <f aca="false">P89-G89</f>
        <v>177.329798515377</v>
      </c>
      <c r="R89" s="13" t="s">
        <v>24</v>
      </c>
      <c r="S89" s="16"/>
    </row>
    <row r="90" customFormat="false" ht="15" hidden="false" customHeight="false" outlineLevel="0" collapsed="false">
      <c r="A90" s="13"/>
      <c r="B90" s="13"/>
      <c r="C90" s="13"/>
      <c r="D90" s="13"/>
      <c r="E90" s="13" t="s">
        <v>105</v>
      </c>
      <c r="F90" s="13" t="s">
        <v>23</v>
      </c>
      <c r="G90" s="15" t="n">
        <f aca="false">390001/$F$124</f>
        <v>4135.74761399788</v>
      </c>
      <c r="H90" s="15"/>
      <c r="I90" s="15"/>
      <c r="J90" s="15"/>
      <c r="K90" s="13" t="s">
        <v>24</v>
      </c>
      <c r="L90" s="16" t="n">
        <v>46319</v>
      </c>
      <c r="M90" s="17"/>
      <c r="O90" s="13"/>
      <c r="P90" s="15"/>
      <c r="Q90" s="15"/>
      <c r="R90" s="13"/>
      <c r="S90" s="16"/>
    </row>
    <row r="91" customFormat="false" ht="15" hidden="false" customHeight="false" outlineLevel="0" collapsed="false">
      <c r="A91" s="13"/>
      <c r="B91" s="13"/>
      <c r="C91" s="13"/>
      <c r="D91" s="13" t="s">
        <v>70</v>
      </c>
      <c r="E91" s="13" t="s">
        <v>106</v>
      </c>
      <c r="F91" s="13" t="s">
        <v>44</v>
      </c>
      <c r="G91" s="15" t="n">
        <v>4100</v>
      </c>
      <c r="H91" s="15"/>
      <c r="I91" s="15"/>
      <c r="J91" s="15"/>
      <c r="K91" s="13" t="s">
        <v>45</v>
      </c>
      <c r="L91" s="16"/>
      <c r="M91" s="17"/>
      <c r="O91" s="13" t="s">
        <v>25</v>
      </c>
      <c r="P91" s="15" t="n">
        <f aca="false">473428/$F$124</f>
        <v>5020.44538706257</v>
      </c>
      <c r="Q91" s="15" t="n">
        <f aca="false">P91-G91</f>
        <v>920.445387062567</v>
      </c>
      <c r="R91" s="13" t="s">
        <v>45</v>
      </c>
      <c r="S91" s="16" t="n">
        <v>46374</v>
      </c>
    </row>
    <row r="92" customFormat="false" ht="15" hidden="false" customHeight="false" outlineLevel="0" collapsed="false">
      <c r="A92" s="13"/>
      <c r="B92" s="13"/>
      <c r="C92" s="13"/>
      <c r="D92" s="13"/>
      <c r="E92" s="13" t="s">
        <v>107</v>
      </c>
      <c r="F92" s="13" t="s">
        <v>68</v>
      </c>
      <c r="G92" s="15" t="n">
        <f aca="false">310680/$F$124</f>
        <v>3294.59172852598</v>
      </c>
      <c r="H92" s="15"/>
      <c r="I92" s="15"/>
      <c r="J92" s="15"/>
      <c r="K92" s="13" t="s">
        <v>24</v>
      </c>
      <c r="L92" s="16" t="n">
        <v>46321</v>
      </c>
      <c r="M92" s="17"/>
      <c r="O92" s="13" t="s">
        <v>25</v>
      </c>
      <c r="P92" s="15" t="n">
        <f aca="false">300503/$F$124</f>
        <v>3186.67020148462</v>
      </c>
      <c r="Q92" s="15" t="n">
        <f aca="false">P92-G92</f>
        <v>-107.921527041357</v>
      </c>
      <c r="R92" s="13" t="s">
        <v>24</v>
      </c>
      <c r="S92" s="16" t="n">
        <v>46322</v>
      </c>
    </row>
    <row r="93" customFormat="false" ht="15" hidden="false" customHeight="false" outlineLevel="0" collapsed="false">
      <c r="A93" s="13"/>
      <c r="B93" s="13"/>
      <c r="C93" s="13"/>
      <c r="D93" s="13"/>
      <c r="E93" s="13" t="s">
        <v>108</v>
      </c>
      <c r="F93" s="13" t="s">
        <v>49</v>
      </c>
      <c r="G93" s="15" t="n">
        <v>1700</v>
      </c>
      <c r="H93" s="15"/>
      <c r="I93" s="15"/>
      <c r="J93" s="15"/>
      <c r="K93" s="13" t="s">
        <v>24</v>
      </c>
      <c r="L93" s="16" t="n">
        <v>46352</v>
      </c>
      <c r="M93" s="17"/>
      <c r="O93" s="13" t="s">
        <v>25</v>
      </c>
      <c r="P93" s="15" t="n">
        <f aca="false">157884/$F$124</f>
        <v>1674.27359490986</v>
      </c>
      <c r="Q93" s="15" t="n">
        <f aca="false">P93-G93</f>
        <v>-25.7264050901379</v>
      </c>
      <c r="R93" s="13" t="s">
        <v>24</v>
      </c>
      <c r="S93" s="16" t="n">
        <v>46352</v>
      </c>
    </row>
    <row r="94" customFormat="false" ht="15" hidden="false" customHeight="false" outlineLevel="0" collapsed="false">
      <c r="A94" s="13"/>
      <c r="B94" s="13"/>
      <c r="C94" s="13"/>
      <c r="D94" s="13"/>
      <c r="E94" s="13" t="s">
        <v>109</v>
      </c>
      <c r="F94" s="13" t="s">
        <v>49</v>
      </c>
      <c r="G94" s="15" t="n">
        <v>2350</v>
      </c>
      <c r="H94" s="15"/>
      <c r="I94" s="15"/>
      <c r="J94" s="15"/>
      <c r="K94" s="13" t="s">
        <v>24</v>
      </c>
      <c r="L94" s="16" t="n">
        <v>46352</v>
      </c>
      <c r="M94" s="17"/>
      <c r="O94" s="13" t="s">
        <v>25</v>
      </c>
      <c r="P94" s="15" t="n">
        <f aca="false">218055/$F$124</f>
        <v>2312.35418875928</v>
      </c>
      <c r="Q94" s="15" t="n">
        <f aca="false">P94-G94</f>
        <v>-37.6458112407208</v>
      </c>
      <c r="R94" s="13" t="s">
        <v>24</v>
      </c>
      <c r="S94" s="16" t="n">
        <v>46352</v>
      </c>
    </row>
    <row r="95" customFormat="false" ht="15" hidden="false" customHeight="false" outlineLevel="0" collapsed="false">
      <c r="A95" s="13"/>
      <c r="B95" s="13" t="s">
        <v>110</v>
      </c>
      <c r="C95" s="13"/>
      <c r="D95" s="13"/>
      <c r="E95" s="13" t="s">
        <v>111</v>
      </c>
      <c r="F95" s="13" t="s">
        <v>49</v>
      </c>
      <c r="G95" s="15" t="n">
        <v>2750</v>
      </c>
      <c r="H95" s="15"/>
      <c r="I95" s="15"/>
      <c r="J95" s="15"/>
      <c r="K95" s="13" t="s">
        <v>24</v>
      </c>
      <c r="L95" s="16" t="n">
        <v>46352</v>
      </c>
      <c r="M95" s="17"/>
      <c r="O95" s="13" t="s">
        <v>25</v>
      </c>
      <c r="P95" s="15" t="n">
        <f aca="false">255083/$F$124</f>
        <v>2705.01590668081</v>
      </c>
      <c r="Q95" s="15" t="n">
        <f aca="false">P95-G95</f>
        <v>-44.984093319194</v>
      </c>
      <c r="R95" s="13" t="s">
        <v>24</v>
      </c>
      <c r="S95" s="16" t="n">
        <v>46352</v>
      </c>
    </row>
    <row r="96" customFormat="false" ht="15" hidden="false" customHeight="false" outlineLevel="0" collapsed="false">
      <c r="A96" s="13"/>
      <c r="B96" s="13"/>
      <c r="C96" s="13"/>
      <c r="D96" s="13"/>
      <c r="E96" s="13" t="s">
        <v>112</v>
      </c>
      <c r="F96" s="13" t="s">
        <v>49</v>
      </c>
      <c r="G96" s="15" t="n">
        <v>3150</v>
      </c>
      <c r="H96" s="15"/>
      <c r="I96" s="15"/>
      <c r="J96" s="15"/>
      <c r="K96" s="13" t="s">
        <v>24</v>
      </c>
      <c r="L96" s="16" t="n">
        <v>46352</v>
      </c>
      <c r="M96" s="17"/>
      <c r="O96" s="13" t="s">
        <v>25</v>
      </c>
      <c r="P96" s="15" t="n">
        <f aca="false">324569/$F$124</f>
        <v>3441.8769883351</v>
      </c>
      <c r="Q96" s="15" t="n">
        <f aca="false">P96-G96</f>
        <v>291.876988335101</v>
      </c>
      <c r="R96" s="13" t="s">
        <v>24</v>
      </c>
      <c r="S96" s="16" t="n">
        <v>46352</v>
      </c>
    </row>
    <row r="97" customFormat="false" ht="15" hidden="false" customHeight="false" outlineLevel="0" collapsed="false">
      <c r="A97" s="13"/>
      <c r="B97" s="13" t="s">
        <v>113</v>
      </c>
      <c r="C97" s="13"/>
      <c r="D97" s="13"/>
      <c r="E97" s="13" t="s">
        <v>114</v>
      </c>
      <c r="F97" s="13" t="s">
        <v>49</v>
      </c>
      <c r="G97" s="15" t="n">
        <v>2975</v>
      </c>
      <c r="H97" s="15"/>
      <c r="I97" s="15"/>
      <c r="J97" s="15"/>
      <c r="K97" s="13" t="s">
        <v>24</v>
      </c>
      <c r="L97" s="16" t="n">
        <v>46376</v>
      </c>
      <c r="M97" s="17"/>
      <c r="O97" s="13" t="s">
        <v>25</v>
      </c>
      <c r="P97" s="15" t="n">
        <f aca="false">203969/$F$124</f>
        <v>2162.97985153765</v>
      </c>
      <c r="Q97" s="15" t="n">
        <f aca="false">P97-G97</f>
        <v>-812.020148462354</v>
      </c>
      <c r="R97" s="13" t="s">
        <v>24</v>
      </c>
      <c r="S97" s="16" t="n">
        <v>46375</v>
      </c>
    </row>
    <row r="98" customFormat="false" ht="15" hidden="false" customHeight="false" outlineLevel="0" collapsed="false">
      <c r="A98" s="13"/>
      <c r="B98" s="13"/>
      <c r="C98" s="13"/>
      <c r="D98" s="13"/>
      <c r="E98" s="13" t="s">
        <v>115</v>
      </c>
      <c r="F98" s="13" t="s">
        <v>23</v>
      </c>
      <c r="G98" s="15" t="n">
        <f aca="false">181816/$F$124</f>
        <v>1928.05938494168</v>
      </c>
      <c r="H98" s="15"/>
      <c r="I98" s="15"/>
      <c r="J98" s="15"/>
      <c r="K98" s="13" t="s">
        <v>24</v>
      </c>
      <c r="L98" s="16" t="n">
        <v>46360</v>
      </c>
      <c r="M98" s="17"/>
      <c r="O98" s="13" t="s">
        <v>25</v>
      </c>
      <c r="P98" s="15" t="n">
        <f aca="false">203969/$F$124</f>
        <v>2162.97985153765</v>
      </c>
      <c r="Q98" s="15" t="n">
        <f aca="false">P98-G98</f>
        <v>234.920466595971</v>
      </c>
      <c r="R98" s="13" t="s">
        <v>24</v>
      </c>
      <c r="S98" s="16" t="n">
        <v>46375</v>
      </c>
    </row>
    <row r="99" customFormat="false" ht="15" hidden="false" customHeight="false" outlineLevel="0" collapsed="false">
      <c r="A99" s="13"/>
      <c r="B99" s="13" t="s">
        <v>113</v>
      </c>
      <c r="C99" s="13"/>
      <c r="D99" s="13"/>
      <c r="E99" s="13" t="s">
        <v>116</v>
      </c>
      <c r="F99" s="13" t="s">
        <v>49</v>
      </c>
      <c r="G99" s="15" t="n">
        <v>2820</v>
      </c>
      <c r="H99" s="15"/>
      <c r="I99" s="15"/>
      <c r="J99" s="15"/>
      <c r="K99" s="13" t="s">
        <v>24</v>
      </c>
      <c r="L99" s="16" t="n">
        <v>46376</v>
      </c>
      <c r="M99" s="17"/>
      <c r="O99" s="13" t="s">
        <v>25</v>
      </c>
      <c r="P99" s="15" t="n">
        <f aca="false">203969/$F$124</f>
        <v>2162.97985153765</v>
      </c>
      <c r="Q99" s="15" t="n">
        <f aca="false">P99-G99</f>
        <v>-657.020148462354</v>
      </c>
      <c r="R99" s="13" t="s">
        <v>24</v>
      </c>
      <c r="S99" s="16" t="n">
        <v>46375</v>
      </c>
    </row>
    <row r="100" customFormat="false" ht="15" hidden="false" customHeight="false" outlineLevel="0" collapsed="false">
      <c r="A100" s="13"/>
      <c r="B100" s="13"/>
      <c r="C100" s="13"/>
      <c r="D100" s="13"/>
      <c r="E100" s="13" t="s">
        <v>117</v>
      </c>
      <c r="F100" s="13" t="s">
        <v>23</v>
      </c>
      <c r="G100" s="15" t="n">
        <f aca="false">148764/$F$124</f>
        <v>1577.56097560976</v>
      </c>
      <c r="H100" s="15"/>
      <c r="I100" s="15"/>
      <c r="J100" s="15"/>
      <c r="K100" s="13" t="s">
        <v>24</v>
      </c>
      <c r="L100" s="16" t="n">
        <v>46362</v>
      </c>
      <c r="M100" s="17"/>
      <c r="O100" s="13" t="s">
        <v>25</v>
      </c>
      <c r="P100" s="15" t="n">
        <f aca="false">203969/$F$124</f>
        <v>2162.97985153765</v>
      </c>
      <c r="Q100" s="15" t="n">
        <f aca="false">P100-G100</f>
        <v>585.41887592789</v>
      </c>
      <c r="R100" s="13" t="s">
        <v>24</v>
      </c>
      <c r="S100" s="16" t="n">
        <v>46375</v>
      </c>
    </row>
    <row r="101" customFormat="false" ht="15" hidden="false" customHeight="false" outlineLevel="0" collapsed="false">
      <c r="A101" s="13"/>
      <c r="B101" s="13" t="s">
        <v>113</v>
      </c>
      <c r="C101" s="13"/>
      <c r="D101" s="13"/>
      <c r="E101" s="13" t="s">
        <v>118</v>
      </c>
      <c r="F101" s="13" t="s">
        <v>49</v>
      </c>
      <c r="G101" s="15" t="n">
        <v>3325</v>
      </c>
      <c r="H101" s="15"/>
      <c r="I101" s="15"/>
      <c r="J101" s="15"/>
      <c r="K101" s="13" t="s">
        <v>24</v>
      </c>
      <c r="L101" s="16" t="n">
        <v>46376</v>
      </c>
      <c r="M101" s="17"/>
      <c r="O101" s="13" t="s">
        <v>25</v>
      </c>
      <c r="P101" s="15" t="n">
        <f aca="false">229465/$F$124</f>
        <v>2433.35100742312</v>
      </c>
      <c r="Q101" s="15" t="n">
        <f aca="false">P101-G101</f>
        <v>-891.648992576882</v>
      </c>
      <c r="R101" s="13" t="s">
        <v>24</v>
      </c>
      <c r="S101" s="16" t="n">
        <v>46375</v>
      </c>
    </row>
    <row r="102" customFormat="false" ht="15" hidden="false" customHeight="false" outlineLevel="0" collapsed="false">
      <c r="A102" s="13"/>
      <c r="B102" s="13"/>
      <c r="C102" s="13"/>
      <c r="D102" s="13"/>
      <c r="E102" s="13" t="s">
        <v>119</v>
      </c>
      <c r="F102" s="13" t="s">
        <v>23</v>
      </c>
      <c r="G102" s="15" t="n">
        <f aca="false">195487/$F$124</f>
        <v>2073.032873807</v>
      </c>
      <c r="H102" s="15"/>
      <c r="I102" s="15"/>
      <c r="J102" s="15"/>
      <c r="K102" s="13" t="s">
        <v>24</v>
      </c>
      <c r="L102" s="16" t="n">
        <v>46360</v>
      </c>
      <c r="M102" s="17"/>
      <c r="O102" s="13" t="s">
        <v>25</v>
      </c>
      <c r="P102" s="15" t="n">
        <f aca="false">229465/$F$124</f>
        <v>2433.35100742312</v>
      </c>
      <c r="Q102" s="15" t="n">
        <f aca="false">P102-G102</f>
        <v>360.318133616119</v>
      </c>
      <c r="R102" s="13" t="s">
        <v>24</v>
      </c>
      <c r="S102" s="16" t="n">
        <v>46375</v>
      </c>
    </row>
    <row r="103" customFormat="false" ht="15" hidden="false" customHeight="false" outlineLevel="0" collapsed="false">
      <c r="A103" s="13"/>
      <c r="B103" s="13" t="s">
        <v>113</v>
      </c>
      <c r="C103" s="13"/>
      <c r="D103" s="13"/>
      <c r="E103" s="13" t="s">
        <v>120</v>
      </c>
      <c r="F103" s="13" t="s">
        <v>49</v>
      </c>
      <c r="G103" s="15" t="n">
        <v>3170</v>
      </c>
      <c r="H103" s="15"/>
      <c r="I103" s="15"/>
      <c r="J103" s="15"/>
      <c r="K103" s="13" t="s">
        <v>24</v>
      </c>
      <c r="L103" s="16" t="n">
        <v>46376</v>
      </c>
      <c r="M103" s="17"/>
      <c r="O103" s="13" t="s">
        <v>25</v>
      </c>
      <c r="P103" s="15" t="n">
        <f aca="false">229465/$F$124</f>
        <v>2433.35100742312</v>
      </c>
      <c r="Q103" s="15" t="n">
        <f aca="false">P103-G103</f>
        <v>-736.648992576882</v>
      </c>
      <c r="R103" s="13" t="s">
        <v>24</v>
      </c>
      <c r="S103" s="16" t="n">
        <v>46375</v>
      </c>
    </row>
    <row r="104" customFormat="false" ht="15" hidden="false" customHeight="false" outlineLevel="0" collapsed="false">
      <c r="A104" s="13"/>
      <c r="B104" s="13"/>
      <c r="C104" s="13"/>
      <c r="D104" s="13"/>
      <c r="E104" s="13" t="s">
        <v>121</v>
      </c>
      <c r="F104" s="13" t="s">
        <v>23</v>
      </c>
      <c r="G104" s="15" t="n">
        <f aca="false">161907/$F$124</f>
        <v>1716.93531283139</v>
      </c>
      <c r="H104" s="15"/>
      <c r="I104" s="15"/>
      <c r="J104" s="15"/>
      <c r="K104" s="13" t="s">
        <v>24</v>
      </c>
      <c r="L104" s="16" t="n">
        <v>46362</v>
      </c>
      <c r="M104" s="17"/>
      <c r="O104" s="13" t="s">
        <v>25</v>
      </c>
      <c r="P104" s="15" t="n">
        <f aca="false">229465/$F$124</f>
        <v>2433.35100742312</v>
      </c>
      <c r="Q104" s="15" t="n">
        <f aca="false">P104-G104</f>
        <v>716.415694591728</v>
      </c>
      <c r="R104" s="13" t="s">
        <v>24</v>
      </c>
      <c r="S104" s="16" t="n">
        <v>46375</v>
      </c>
    </row>
    <row r="105" customFormat="false" ht="15" hidden="false" customHeight="false" outlineLevel="0" collapsed="false">
      <c r="A105" s="13"/>
      <c r="B105" s="13"/>
      <c r="C105" s="13"/>
      <c r="D105" s="13"/>
      <c r="E105" s="13" t="s">
        <v>122</v>
      </c>
      <c r="F105" s="13" t="s">
        <v>23</v>
      </c>
      <c r="G105" s="15" t="n">
        <f aca="false">188966/$F$124</f>
        <v>2003.88123011665</v>
      </c>
      <c r="H105" s="15"/>
      <c r="I105" s="15"/>
      <c r="J105" s="15"/>
      <c r="K105" s="13" t="s">
        <v>24</v>
      </c>
      <c r="L105" s="16" t="n">
        <v>46350</v>
      </c>
      <c r="M105" s="17"/>
      <c r="O105" s="13"/>
      <c r="P105" s="15"/>
      <c r="Q105" s="15"/>
      <c r="R105" s="13"/>
      <c r="S105" s="16"/>
    </row>
    <row r="108" customFormat="false" ht="15" hidden="false" customHeight="false" outlineLevel="0" collapsed="false">
      <c r="A108" s="13"/>
      <c r="B108" s="13"/>
      <c r="C108" s="13"/>
      <c r="D108" s="13"/>
      <c r="E108" s="14" t="s">
        <v>123</v>
      </c>
      <c r="F108" s="13"/>
      <c r="G108" s="13"/>
      <c r="H108" s="13"/>
      <c r="I108" s="13"/>
      <c r="J108" s="13"/>
      <c r="K108" s="13"/>
      <c r="L108" s="13"/>
      <c r="M108" s="13"/>
      <c r="O108" s="13"/>
      <c r="P108" s="13"/>
      <c r="Q108" s="13"/>
      <c r="R108" s="13"/>
      <c r="S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O109" s="13"/>
      <c r="P109" s="13"/>
      <c r="Q109" s="13"/>
      <c r="R109" s="13"/>
      <c r="S109" s="13"/>
    </row>
    <row r="110" customFormat="false" ht="15" hidden="false" customHeight="false" outlineLevel="0" collapsed="false">
      <c r="A110" s="13"/>
      <c r="B110" s="13"/>
      <c r="C110" s="13"/>
      <c r="D110" s="13"/>
      <c r="E110" s="13" t="s">
        <v>124</v>
      </c>
      <c r="F110" s="13" t="s">
        <v>23</v>
      </c>
      <c r="G110" s="15" t="n">
        <f aca="false">11654/$F$124</f>
        <v>123.584305408271</v>
      </c>
      <c r="H110" s="15"/>
      <c r="I110" s="15"/>
      <c r="J110" s="15"/>
      <c r="K110" s="13" t="s">
        <v>125</v>
      </c>
      <c r="L110" s="16" t="n">
        <v>46373</v>
      </c>
      <c r="M110" s="17"/>
      <c r="O110" s="13" t="s">
        <v>25</v>
      </c>
      <c r="P110" s="15" t="n">
        <f aca="false">12052/$F$124</f>
        <v>127.804878048781</v>
      </c>
      <c r="Q110" s="15" t="n">
        <f aca="false">P110-G110</f>
        <v>4.22057264050902</v>
      </c>
      <c r="R110" s="13" t="s">
        <v>125</v>
      </c>
      <c r="S110" s="16" t="n">
        <v>46386</v>
      </c>
    </row>
    <row r="111" customFormat="false" ht="15" hidden="false" customHeight="false" outlineLevel="0" collapsed="false">
      <c r="A111" s="13"/>
      <c r="B111" s="13"/>
      <c r="C111" s="13"/>
      <c r="D111" s="13"/>
      <c r="E111" s="13" t="s">
        <v>124</v>
      </c>
      <c r="F111" s="13" t="s">
        <v>49</v>
      </c>
      <c r="G111" s="15" t="n">
        <v>140</v>
      </c>
      <c r="H111" s="15"/>
      <c r="I111" s="15"/>
      <c r="J111" s="15"/>
      <c r="K111" s="13" t="s">
        <v>125</v>
      </c>
      <c r="L111" s="16" t="n">
        <v>46386</v>
      </c>
      <c r="M111" s="17"/>
      <c r="O111" s="13"/>
      <c r="P111" s="15"/>
      <c r="Q111" s="15"/>
      <c r="R111" s="13"/>
      <c r="S111" s="16"/>
    </row>
    <row r="112" customFormat="false" ht="15" hidden="false" customHeight="false" outlineLevel="0" collapsed="false">
      <c r="A112" s="13"/>
      <c r="B112" s="13"/>
      <c r="C112" s="13"/>
      <c r="D112" s="13"/>
      <c r="E112" s="13" t="s">
        <v>126</v>
      </c>
      <c r="F112" s="13" t="s">
        <v>68</v>
      </c>
      <c r="G112" s="15" t="n">
        <f aca="false">8744/$F$124</f>
        <v>92.7253446447508</v>
      </c>
      <c r="H112" s="15"/>
      <c r="I112" s="15"/>
      <c r="J112" s="15"/>
      <c r="K112" s="13" t="s">
        <v>125</v>
      </c>
      <c r="L112" s="16" t="n">
        <v>46383</v>
      </c>
      <c r="M112" s="17"/>
      <c r="O112" s="13" t="s">
        <v>25</v>
      </c>
      <c r="P112" s="15" t="n">
        <f aca="false">10903/$F$124</f>
        <v>115.620360551432</v>
      </c>
      <c r="Q112" s="15" t="n">
        <f aca="false">P112-G112</f>
        <v>22.8950159066808</v>
      </c>
      <c r="R112" s="13" t="s">
        <v>125</v>
      </c>
      <c r="S112" s="16" t="n">
        <v>46384</v>
      </c>
    </row>
    <row r="113" customFormat="false" ht="15" hidden="false" customHeight="false" outlineLevel="0" collapsed="false">
      <c r="A113" s="13"/>
      <c r="B113" s="13"/>
      <c r="C113" s="13"/>
      <c r="D113" s="13"/>
      <c r="E113" s="13" t="s">
        <v>126</v>
      </c>
      <c r="F113" s="13" t="s">
        <v>49</v>
      </c>
      <c r="G113" s="15" t="n">
        <v>142</v>
      </c>
      <c r="H113" s="15"/>
      <c r="I113" s="15"/>
      <c r="J113" s="15"/>
      <c r="K113" s="13" t="s">
        <v>125</v>
      </c>
      <c r="L113" s="16" t="n">
        <v>46383</v>
      </c>
      <c r="M113" s="17"/>
      <c r="O113" s="13"/>
      <c r="P113" s="15"/>
      <c r="Q113" s="15"/>
      <c r="R113" s="13"/>
      <c r="S113" s="16"/>
    </row>
    <row r="116" customFormat="false" ht="15" hidden="false" customHeight="false" outlineLevel="0" collapsed="false">
      <c r="A116" s="13"/>
      <c r="B116" s="13"/>
      <c r="C116" s="13"/>
      <c r="D116" s="13"/>
      <c r="E116" s="18" t="s">
        <v>127</v>
      </c>
      <c r="F116" s="13" t="s">
        <v>80</v>
      </c>
      <c r="G116" s="13"/>
      <c r="H116" s="13"/>
      <c r="I116" s="13"/>
      <c r="J116" s="13"/>
      <c r="K116" s="13"/>
      <c r="L116" s="13"/>
      <c r="M116" s="13"/>
      <c r="O116" s="13"/>
      <c r="P116" s="13"/>
      <c r="Q116" s="13"/>
      <c r="R116" s="13"/>
      <c r="S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O117" s="13"/>
      <c r="P117" s="13"/>
      <c r="Q117" s="13"/>
      <c r="R117" s="13"/>
      <c r="S117" s="13"/>
    </row>
    <row r="118" customFormat="false" ht="28.35" hidden="false" customHeight="false" outlineLevel="0" collapsed="false">
      <c r="A118" s="13"/>
      <c r="B118" s="13"/>
      <c r="C118" s="13"/>
      <c r="D118" s="13"/>
      <c r="E118" s="24" t="s">
        <v>128</v>
      </c>
      <c r="F118" s="13" t="s">
        <v>80</v>
      </c>
      <c r="G118" s="15" t="n">
        <v>2725</v>
      </c>
      <c r="H118" s="13"/>
      <c r="I118" s="13"/>
      <c r="J118" s="13"/>
      <c r="K118" s="13"/>
      <c r="L118" s="13"/>
      <c r="M118" s="13"/>
      <c r="O118" s="13"/>
      <c r="P118" s="13"/>
      <c r="Q118" s="13"/>
      <c r="R118" s="13"/>
      <c r="S118" s="13"/>
    </row>
    <row r="119" customFormat="false" ht="28.35" hidden="false" customHeight="false" outlineLevel="0" collapsed="false">
      <c r="A119" s="13"/>
      <c r="B119" s="13"/>
      <c r="C119" s="13"/>
      <c r="D119" s="13"/>
      <c r="E119" s="24" t="s">
        <v>129</v>
      </c>
      <c r="F119" s="13" t="s">
        <v>80</v>
      </c>
      <c r="G119" s="15" t="n">
        <v>2695</v>
      </c>
      <c r="H119" s="13"/>
      <c r="I119" s="13"/>
      <c r="J119" s="13"/>
      <c r="K119" s="13"/>
      <c r="L119" s="13"/>
      <c r="M119" s="13"/>
      <c r="O119" s="13"/>
      <c r="P119" s="13"/>
      <c r="Q119" s="13"/>
      <c r="R119" s="13"/>
      <c r="S119" s="13"/>
    </row>
    <row r="120" customFormat="false" ht="15" hidden="false" customHeight="false" outlineLevel="0" collapsed="false">
      <c r="A120" s="19"/>
      <c r="B120" s="19"/>
      <c r="C120" s="19"/>
      <c r="D120" s="19"/>
      <c r="E120" s="19" t="s">
        <v>130</v>
      </c>
      <c r="F120" s="19"/>
      <c r="G120" s="20" t="n">
        <f aca="false">SUM(G118:G119)</f>
        <v>5420</v>
      </c>
      <c r="H120" s="20" t="n">
        <f aca="false">G120*10%</f>
        <v>542</v>
      </c>
      <c r="I120" s="19"/>
      <c r="J120" s="21" t="n">
        <f aca="false">G120+H120</f>
        <v>5962</v>
      </c>
      <c r="K120" s="19"/>
      <c r="L120" s="19"/>
      <c r="M120" s="19"/>
      <c r="O120" s="19"/>
      <c r="P120" s="19"/>
      <c r="Q120" s="19"/>
      <c r="R120" s="19"/>
      <c r="S120" s="19"/>
    </row>
    <row r="124" customFormat="false" ht="15" hidden="false" customHeight="false" outlineLevel="0" collapsed="false">
      <c r="E124" s="25" t="s">
        <v>131</v>
      </c>
      <c r="F124" s="26" t="n">
        <v>94.3</v>
      </c>
    </row>
    <row r="125" customFormat="false" ht="15" hidden="false" customHeight="false" outlineLevel="0" collapsed="false">
      <c r="E125" s="25" t="s">
        <v>132</v>
      </c>
      <c r="F125" s="27"/>
    </row>
    <row r="130" customFormat="false" ht="15" hidden="false" customHeight="false" outlineLevel="0" collapsed="false">
      <c r="F130" s="28" t="s">
        <v>133</v>
      </c>
      <c r="G130" s="28" t="s">
        <v>134</v>
      </c>
      <c r="H130" s="28" t="s">
        <v>135</v>
      </c>
      <c r="I130" s="28" t="s">
        <v>134</v>
      </c>
      <c r="J130" s="28" t="s">
        <v>136</v>
      </c>
      <c r="K130" s="28" t="s">
        <v>134</v>
      </c>
    </row>
    <row r="131" customFormat="false" ht="15" hidden="false" customHeight="false" outlineLevel="0" collapsed="false">
      <c r="E131" s="29" t="s">
        <v>137</v>
      </c>
      <c r="F131" s="30" t="n">
        <f aca="false">G16+G24+G39+G57+G83</f>
        <v>2535.01060445387</v>
      </c>
      <c r="G131" s="31" t="n">
        <f aca="false">F131*$F$124</f>
        <v>239051.5</v>
      </c>
      <c r="H131" s="30" t="n">
        <f aca="false">G16+G24+G40+G56+G82</f>
        <v>2437.44060445387</v>
      </c>
      <c r="I131" s="31" t="n">
        <f aca="false">H131*$F$124</f>
        <v>229850.649</v>
      </c>
      <c r="J131" s="30" t="n">
        <f aca="false">G16+G24+G39+G58+G83</f>
        <v>2844.06060445387</v>
      </c>
      <c r="K131" s="31" t="n">
        <f aca="false">J131*$F$124</f>
        <v>268194.915</v>
      </c>
    </row>
    <row r="132" customFormat="false" ht="15" hidden="false" customHeight="false" outlineLevel="0" collapsed="false">
      <c r="E132" s="29" t="s">
        <v>138</v>
      </c>
      <c r="F132" s="30" t="n">
        <f aca="false">H16+H24+H39+H57+H83</f>
        <v>577.971600954401</v>
      </c>
      <c r="G132" s="31" t="n">
        <f aca="false">F132*$F$124</f>
        <v>54502.72197</v>
      </c>
      <c r="H132" s="30" t="n">
        <f aca="false">H16+H24+H40+H56+H82</f>
        <v>580.502098954401</v>
      </c>
      <c r="I132" s="31" t="n">
        <f aca="false">H132*$F$124</f>
        <v>54741.3479314</v>
      </c>
      <c r="J132" s="30" t="n">
        <f aca="false">H16+H24+H39+H58+H83</f>
        <v>474.932635954401</v>
      </c>
      <c r="K132" s="31" t="n">
        <f aca="false">J132*$F$124</f>
        <v>44786.1475705</v>
      </c>
    </row>
    <row r="133" customFormat="false" ht="15" hidden="false" customHeight="false" outlineLevel="0" collapsed="false">
      <c r="E133" s="29" t="s">
        <v>139</v>
      </c>
      <c r="F133" s="30" t="n">
        <f aca="false">SUM(F131:F132)</f>
        <v>3112.98220540827</v>
      </c>
      <c r="G133" s="31" t="n">
        <f aca="false">F133*$F$124</f>
        <v>293554.22197</v>
      </c>
      <c r="H133" s="30" t="n">
        <f aca="false">SUM(H131:H132)</f>
        <v>3017.94270340827</v>
      </c>
      <c r="I133" s="31" t="n">
        <f aca="false">H133*$F$124</f>
        <v>284591.9969314</v>
      </c>
      <c r="J133" s="30" t="n">
        <f aca="false">SUM(J131:J132)</f>
        <v>3318.99324040827</v>
      </c>
      <c r="K133" s="31" t="n">
        <f aca="false">J133*$F$124</f>
        <v>312981.0625705</v>
      </c>
    </row>
    <row r="134" customFormat="false" ht="15" hidden="false" customHeight="false" outlineLevel="0" collapsed="false">
      <c r="E134" s="29" t="s">
        <v>140</v>
      </c>
      <c r="F134" s="30" t="n">
        <f aca="false">F133*5%</f>
        <v>155.649110270414</v>
      </c>
      <c r="G134" s="31" t="n">
        <f aca="false">F134*$F$124</f>
        <v>14677.7110985</v>
      </c>
      <c r="H134" s="30" t="n">
        <f aca="false">H133*5%</f>
        <v>150.897135170414</v>
      </c>
      <c r="I134" s="31" t="n">
        <f aca="false">H134*$F$124</f>
        <v>14229.59984657</v>
      </c>
      <c r="J134" s="30" t="n">
        <f aca="false">J133*5%</f>
        <v>165.949662020414</v>
      </c>
      <c r="K134" s="31" t="n">
        <f aca="false">J134*$F$124</f>
        <v>15649.053128525</v>
      </c>
    </row>
    <row r="135" customFormat="false" ht="15" hidden="false" customHeight="false" outlineLevel="0" collapsed="false">
      <c r="E135" s="29" t="s">
        <v>141</v>
      </c>
      <c r="F135" s="30" t="n">
        <f aca="false">(F133+F134)*2%</f>
        <v>65.3726263135737</v>
      </c>
      <c r="G135" s="31" t="n">
        <f aca="false">F135*$F$124</f>
        <v>6164.63866137</v>
      </c>
      <c r="H135" s="30" t="n">
        <f aca="false">(H133+H134)*2%</f>
        <v>63.3767967715737</v>
      </c>
      <c r="I135" s="31" t="n">
        <f aca="false">H135*$F$124</f>
        <v>5976.4319355594</v>
      </c>
      <c r="J135" s="30" t="n">
        <f aca="false">(J133+J134)*2%</f>
        <v>69.6988580485737</v>
      </c>
      <c r="K135" s="31" t="n">
        <f aca="false">J135*$F$124</f>
        <v>6572.6023139805</v>
      </c>
    </row>
    <row r="136" customFormat="false" ht="15" hidden="false" customHeight="false" outlineLevel="0" collapsed="false">
      <c r="E136" s="29" t="s">
        <v>142</v>
      </c>
      <c r="F136" s="30" t="n">
        <f aca="false">F133+F134+F135</f>
        <v>3334.00394199226</v>
      </c>
      <c r="G136" s="31" t="n">
        <f aca="false">F136*$F$124</f>
        <v>314396.57172987</v>
      </c>
      <c r="H136" s="30" t="n">
        <f aca="false">H133+H134+H135</f>
        <v>3232.21663535026</v>
      </c>
      <c r="I136" s="31" t="n">
        <f aca="false">H136*$F$124</f>
        <v>304798.028713529</v>
      </c>
      <c r="J136" s="30" t="n">
        <f aca="false">J133+J134+J135</f>
        <v>3554.64176047726</v>
      </c>
      <c r="K136" s="31" t="n">
        <f aca="false">J136*$F$124</f>
        <v>335202.718013006</v>
      </c>
    </row>
    <row r="137" customFormat="false" ht="15" hidden="false" customHeight="false" outlineLevel="0" collapsed="false">
      <c r="E137" s="32" t="s">
        <v>143</v>
      </c>
      <c r="F137" s="30"/>
      <c r="G137" s="31" t="n">
        <f aca="false">ROUNDUP(G136,-2)</f>
        <v>314400</v>
      </c>
      <c r="H137" s="30"/>
      <c r="I137" s="31" t="n">
        <f aca="false">ROUNDUP(I136,-2)</f>
        <v>304800</v>
      </c>
      <c r="J137" s="30"/>
      <c r="K137" s="31" t="n">
        <f aca="false">ROUNDUP(K136,-2)</f>
        <v>335300</v>
      </c>
    </row>
    <row r="141" customFormat="false" ht="15" hidden="false" customHeight="false" outlineLevel="0" collapsed="false">
      <c r="E141" s="33" t="s">
        <v>144</v>
      </c>
      <c r="F141" s="33"/>
      <c r="G141" s="33"/>
    </row>
    <row r="142" customFormat="false" ht="26.85" hidden="false" customHeight="false" outlineLevel="0" collapsed="false">
      <c r="E142" s="34" t="s">
        <v>145</v>
      </c>
      <c r="F142" s="34" t="s">
        <v>146</v>
      </c>
      <c r="G142" s="34" t="s">
        <v>147</v>
      </c>
    </row>
    <row r="143" customFormat="false" ht="15" hidden="false" customHeight="false" outlineLevel="0" collapsed="false">
      <c r="E143" s="35"/>
      <c r="F143" s="35"/>
      <c r="G143" s="35"/>
    </row>
    <row r="144" customFormat="false" ht="15" hidden="false" customHeight="false" outlineLevel="0" collapsed="false">
      <c r="E144" s="35"/>
      <c r="F144" s="35"/>
      <c r="G144" s="35"/>
    </row>
    <row r="145" customFormat="false" ht="15" hidden="false" customHeight="false" outlineLevel="0" collapsed="false">
      <c r="E145" s="35"/>
      <c r="F145" s="35"/>
      <c r="G145" s="35"/>
    </row>
    <row r="146" customFormat="false" ht="15" hidden="false" customHeight="false" outlineLevel="0" collapsed="false">
      <c r="E146" s="35"/>
      <c r="F146" s="35"/>
      <c r="G146" s="35"/>
    </row>
    <row r="147" customFormat="false" ht="15" hidden="false" customHeight="false" outlineLevel="0" collapsed="false">
      <c r="E147" s="35"/>
      <c r="F147" s="35"/>
      <c r="G147" s="35"/>
    </row>
    <row r="148" customFormat="false" ht="15" hidden="false" customHeight="false" outlineLevel="0" collapsed="false">
      <c r="E148" s="35"/>
      <c r="F148" s="35"/>
      <c r="G148" s="35"/>
    </row>
    <row r="151" customFormat="false" ht="15" hidden="false" customHeight="false" outlineLevel="0" collapsed="false">
      <c r="E151" s="33" t="s">
        <v>148</v>
      </c>
      <c r="F151" s="33"/>
      <c r="G151" s="33"/>
    </row>
    <row r="152" customFormat="false" ht="15" hidden="false" customHeight="false" outlineLevel="0" collapsed="false">
      <c r="E152" s="34" t="s">
        <v>149</v>
      </c>
      <c r="F152" s="34" t="s">
        <v>12</v>
      </c>
      <c r="G152" s="34"/>
    </row>
    <row r="153" customFormat="false" ht="15" hidden="false" customHeight="false" outlineLevel="0" collapsed="false">
      <c r="E153" s="35" t="s">
        <v>33</v>
      </c>
      <c r="F153" s="35" t="s">
        <v>23</v>
      </c>
      <c r="G153" s="35"/>
    </row>
    <row r="154" customFormat="false" ht="15" hidden="false" customHeight="false" outlineLevel="0" collapsed="false">
      <c r="E154" s="35" t="s">
        <v>40</v>
      </c>
      <c r="F154" s="35" t="s">
        <v>23</v>
      </c>
      <c r="G154" s="35"/>
    </row>
    <row r="155" customFormat="false" ht="15" hidden="false" customHeight="false" outlineLevel="0" collapsed="false">
      <c r="E155" s="35" t="s">
        <v>63</v>
      </c>
      <c r="F155" s="35" t="s">
        <v>49</v>
      </c>
      <c r="G155" s="35"/>
    </row>
    <row r="156" customFormat="false" ht="15" hidden="false" customHeight="false" outlineLevel="0" collapsed="false">
      <c r="E156" s="35" t="s">
        <v>64</v>
      </c>
      <c r="F156" s="35" t="s">
        <v>49</v>
      </c>
      <c r="G156" s="35"/>
    </row>
    <row r="157" customFormat="false" ht="15" hidden="false" customHeight="false" outlineLevel="0" collapsed="false">
      <c r="E157" s="35" t="s">
        <v>79</v>
      </c>
      <c r="F157" s="35" t="s">
        <v>80</v>
      </c>
      <c r="G157" s="35"/>
    </row>
    <row r="158" customFormat="false" ht="15" hidden="false" customHeight="false" outlineLevel="0" collapsed="false">
      <c r="E158" s="35" t="s">
        <v>82</v>
      </c>
      <c r="F158" s="35" t="s">
        <v>80</v>
      </c>
      <c r="G158" s="35"/>
    </row>
    <row r="159" customFormat="false" ht="15" hidden="false" customHeight="false" outlineLevel="0" collapsed="false">
      <c r="E159" s="35" t="s">
        <v>83</v>
      </c>
      <c r="F159" s="35" t="s">
        <v>80</v>
      </c>
      <c r="G159" s="35"/>
    </row>
    <row r="160" customFormat="false" ht="15" hidden="false" customHeight="false" outlineLevel="0" collapsed="false">
      <c r="E160" s="35" t="s">
        <v>100</v>
      </c>
      <c r="F160" s="35" t="s">
        <v>80</v>
      </c>
      <c r="G160" s="35"/>
    </row>
    <row r="161" customFormat="false" ht="15" hidden="false" customHeight="false" outlineLevel="0" collapsed="false">
      <c r="E161" s="35" t="s">
        <v>101</v>
      </c>
      <c r="F161" s="35" t="s">
        <v>80</v>
      </c>
      <c r="G161" s="35"/>
    </row>
  </sheetData>
  <mergeCells count="14">
    <mergeCell ref="A2:C2"/>
    <mergeCell ref="D2:L2"/>
    <mergeCell ref="A3:C3"/>
    <mergeCell ref="D3:F3"/>
    <mergeCell ref="G3:L3"/>
    <mergeCell ref="A4:C4"/>
    <mergeCell ref="D4:L4"/>
    <mergeCell ref="A6:A7"/>
    <mergeCell ref="C6:C7"/>
    <mergeCell ref="D6:D7"/>
    <mergeCell ref="E6:E7"/>
    <mergeCell ref="F6:L6"/>
    <mergeCell ref="E141:G141"/>
    <mergeCell ref="E151:G1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2026-10-07T09:00:18Z</dcterms:created>
  <dc:creator>openpyxl</dc:creator>
  <dc:description/>
  <dc:language>en-US</dc:language>
  <cp:lastModifiedBy/>
  <dcterms:modified xsi:type="dcterms:W3CDTF">2026-10-07T09:00:18Z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