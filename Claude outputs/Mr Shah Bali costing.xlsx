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7O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<sst xmlns="http://schemas.openxmlformats.org/spreadsheetml/2006/main" count="86" uniqueCount="60">
  <si>
    <t xml:space="preserve">Trip Name</t>
  </si>
  <si>
    <t xml:space="preserve">Mr Shah - Bali</t>
  </si>
  <si>
    <t xml:space="preserve">No of Pax/ Rooms Required</t>
  </si>
  <si>
    <t xml:space="preserve">1 Room (1 DBL)</t>
  </si>
  <si>
    <t xml:space="preserve">2 Adults</t>
  </si>
  <si>
    <t xml:space="preserve">Special Notes</t>
  </si>
  <si>
    <t xml:space="preserve">12th Dec to 18th Dec - 6N (Ubud 3N, Seminyak 3N) | Ottila &amp; TBO not checked yet (not logged in)</t>
  </si>
  <si>
    <t xml:space="preserve">Status </t>
  </si>
  <si>
    <t xml:space="preserve">Booked for Which Date </t>
  </si>
  <si>
    <t xml:space="preserve">BID</t>
  </si>
  <si>
    <t xml:space="preserve">Description </t>
  </si>
  <si>
    <t xml:space="preserve">Costing From Supplier / Online Portals </t>
  </si>
  <si>
    <t xml:space="preserve">Notes</t>
  </si>
  <si>
    <t xml:space="preserve">Source</t>
  </si>
  <si>
    <t xml:space="preserve">Rate Per Room</t>
  </si>
  <si>
    <t xml:space="preserve">Cost to us</t>
  </si>
  <si>
    <t xml:space="preserve">GST &amp; Other charges</t>
  </si>
  <si>
    <t xml:space="preserve">Total Rate  (With GST)</t>
  </si>
  <si>
    <t xml:space="preserve">Meal Plan</t>
  </si>
  <si>
    <t xml:space="preserve">Cancel. Policy</t>
  </si>
  <si>
    <t xml:space="preserve">Due date</t>
  </si>
  <si>
    <t xml:space="preserve">Difference</t>
  </si>
  <si>
    <t xml:space="preserve">Ubud 12th Dec to 15th Dec 3N</t>
  </si>
  <si>
    <t xml:space="preserve">base</t>
  </si>
  <si>
    <t xml:space="preserve">Arkamara Dijiwa Ubud 5* x1 Arkamara Suite Jungle</t>
  </si>
  <si>
    <t xml:space="preserve">B.com</t>
  </si>
  <si>
    <t xml:space="preserve">BB</t>
  </si>
  <si>
    <t xml:space="preserve">Free cxl</t>
  </si>
  <si>
    <t xml:space="preserve">Booking.com 7 Oct, incl. taxes. Ottila/TBO to check</t>
  </si>
  <si>
    <t xml:space="preserve">Pramana Watu Kurung 5* x1 Pramana Suite</t>
  </si>
  <si>
    <t xml:space="preserve">Booking.com 7 Oct, incl. taxes</t>
  </si>
  <si>
    <t xml:space="preserve">Maya Ubud Resort &amp; Spa 5* x1 Forest Suite with Butler Service - King</t>
  </si>
  <si>
    <t xml:space="preserve">RO</t>
  </si>
  <si>
    <t xml:space="preserve">Booking.com 7 Oct, incl. taxes, breakfast not included</t>
  </si>
  <si>
    <t xml:space="preserve">upg 1</t>
  </si>
  <si>
    <t xml:space="preserve">The Royal Pita Maha 5* x1 Royal Spa Villa with daily 60-min massage 300sqm</t>
  </si>
  <si>
    <t xml:space="preserve">Seminyak 15th Dec to 18th Dec 3N</t>
  </si>
  <si>
    <t xml:space="preserve">Hotel Indigo Bali Seminyak Beach 5* x1 Standard Room</t>
  </si>
  <si>
    <t xml:space="preserve">Booking.com 7 Oct, incl. taxes, pay at hotel. Ottila/TBO to check</t>
  </si>
  <si>
    <t xml:space="preserve">Alila Seminyak 5* x1 Deluxe King Room</t>
  </si>
  <si>
    <t xml:space="preserve">Booking.com 7 Oct, US$706 + US$156 taxes</t>
  </si>
  <si>
    <t xml:space="preserve">W Bali - Seminyak 5* x1 Superior Garden View King, Balcony</t>
  </si>
  <si>
    <t xml:space="preserve">Booking.com 7 Oct, US$1,037 + US$218 taxes</t>
  </si>
  <si>
    <t xml:space="preserve">ROE - USD</t>
  </si>
  <si>
    <t xml:space="preserve">ROE - EUR</t>
  </si>
  <si>
    <t xml:space="preserve">Per couple</t>
  </si>
  <si>
    <t xml:space="preserve">in INR</t>
  </si>
  <si>
    <t xml:space="preserve">Cost to US</t>
  </si>
  <si>
    <t xml:space="preserve">Markup </t>
  </si>
  <si>
    <t xml:space="preserve">Cost to Client </t>
  </si>
  <si>
    <t xml:space="preserve">GST</t>
  </si>
  <si>
    <t xml:space="preserve">TCS 2%</t>
  </si>
  <si>
    <t xml:space="preserve">Payable</t>
  </si>
  <si>
    <t xml:space="preserve">Round Off</t>
  </si>
  <si>
    <t xml:space="preserve">commission </t>
  </si>
  <si>
    <t xml:space="preserve">Hotel Name</t>
  </si>
  <si>
    <t xml:space="preserve">Check out date</t>
  </si>
  <si>
    <t xml:space="preserve">Amount</t>
  </si>
  <si>
    <t xml:space="preserve">Reporting</t>
  </si>
  <si>
    <t xml:space="preserve">Hotel/DMC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</si>
</sst>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[$$-409]* #,##0_ ;_-[$$-409]* \-#,##0\ ;_-[$$-409]* \-??_ ;_-@_ "/>
    <numFmt numFmtId="166" formatCode="d\-mmm"/>
    <numFmt numFmtId="167" formatCode="_ * #,##0.00_ ;_ * \-#,##0.00_ ;_ * \-??_ ;_ @_ "/>
    <numFmt numFmtId="168" formatCode="_ [$₹-4009]\ * #,##0_ ;_ [$₹-4009]\ * \-#,##0_ ;_ [$₹-4009]\ * \-??_ ;_ @_ 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0206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Calibri"/>
      <family val="0"/>
      <charset val="1"/>
    </font>
    <font>
      <b val="true"/>
      <sz val="11"/>
      <color theme="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B05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"/>
        <bgColor rgb="FFEEECE1"/>
      </patternFill>
    </fill>
    <fill>
      <patternFill patternType="solid">
        <fgColor theme="4" tint="0.7999"/>
        <bgColor rgb="FFEEECE1"/>
      </patternFill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DCE6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T6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.7"/>
    <col collapsed="false" customWidth="true" hidden="false" outlineLevel="0" max="4" min="4" style="0" width="14.3"/>
    <col collapsed="false" customWidth="true" hidden="false" outlineLevel="0" max="5" min="5" style="0" width="44.6"/>
    <col collapsed="false" customWidth="true" hidden="false" outlineLevel="0" max="6" min="6" style="0" width="13"/>
    <col collapsed="false" customWidth="true" hidden="false" outlineLevel="0" max="7" min="7" style="0" width="14.7"/>
    <col collapsed="false" customWidth="true" hidden="false" outlineLevel="0" max="8" min="8" style="0" width="14.6"/>
    <col collapsed="false" customWidth="true" hidden="false" outlineLevel="0" max="9" min="9" style="0" width="13.5"/>
    <col collapsed="false" customWidth="true" hidden="false" outlineLevel="0" max="10" min="10" style="0" width="12"/>
    <col collapsed="false" customWidth="true" hidden="false" outlineLevel="0" max="11" min="11" style="0" width="5.6"/>
    <col collapsed="false" customWidth="true" hidden="false" outlineLevel="0" max="12" min="12" style="0" width="10.51"/>
    <col collapsed="false" customWidth="true" hidden="false" outlineLevel="0" max="13" min="13" style="0" width="5.8"/>
    <col collapsed="false" customWidth="true" hidden="false" outlineLevel="0" max="14" min="14" style="0" width="0.3"/>
    <col collapsed="false" customWidth="true" hidden="false" outlineLevel="0" max="15" min="15" style="0" width="9"/>
    <col collapsed="false" customWidth="true" hidden="false" outlineLevel="0" max="16" min="16" style="0" width="14.6"/>
    <col collapsed="false" customWidth="true" hidden="false" outlineLevel="0" max="17" min="17" style="0" width="13.5"/>
    <col collapsed="false" customWidth="true" hidden="false" outlineLevel="0" max="18" min="18" style="0" width="6.6"/>
    <col collapsed="false" customWidth="true" hidden="false" outlineLevel="0" max="19" min="19" style="0" width="11.8"/>
    <col collapsed="false" customWidth="true" hidden="false" outlineLevel="0" max="20" min="20" style="0" width="34"/>
  </cols>
  <sheetData>
    <row r="2" customFormat="false" ht="15" hidden="false" customHeight="false" outlineLevel="0" collapsed="false">
      <c r="A2" s="1" t="s">
        <v>0</v>
      </c>
      <c r="B2" s="1"/>
      <c r="C2" s="1"/>
      <c r="D2" s="2" t="s">
        <v>1</v>
      </c>
      <c r="E2" s="2"/>
      <c r="F2" s="2"/>
      <c r="G2" s="2"/>
      <c r="H2" s="2"/>
      <c r="I2" s="2"/>
      <c r="J2" s="2"/>
      <c r="K2" s="2"/>
      <c r="L2" s="2"/>
      <c r="M2" s="3"/>
      <c r="N2" s="3"/>
      <c r="P2" s="4"/>
      <c r="Q2" s="4"/>
    </row>
    <row r="3" customFormat="false" ht="15" hidden="false" customHeight="false" outlineLevel="0" collapsed="false">
      <c r="A3" s="1" t="s">
        <v>2</v>
      </c>
      <c r="B3" s="1"/>
      <c r="C3" s="1"/>
      <c r="D3" s="2" t="s">
        <v>3</v>
      </c>
      <c r="E3" s="2"/>
      <c r="F3" s="2"/>
      <c r="G3" s="1" t="s">
        <v>4</v>
      </c>
      <c r="H3" s="1"/>
      <c r="I3" s="1"/>
      <c r="J3" s="1"/>
      <c r="K3" s="1"/>
      <c r="L3" s="1"/>
      <c r="M3" s="3"/>
      <c r="N3" s="3"/>
      <c r="P3" s="4"/>
      <c r="Q3" s="4"/>
    </row>
    <row r="4" customFormat="false" ht="15" hidden="false" customHeight="false" outlineLevel="0" collapsed="false">
      <c r="A4" s="1" t="s">
        <v>5</v>
      </c>
      <c r="B4" s="1"/>
      <c r="C4" s="1"/>
      <c r="D4" s="2" t="s">
        <v>6</v>
      </c>
      <c r="E4" s="2"/>
      <c r="F4" s="2"/>
      <c r="G4" s="2"/>
      <c r="H4" s="2"/>
      <c r="I4" s="2"/>
      <c r="J4" s="2"/>
      <c r="K4" s="2"/>
      <c r="L4" s="2"/>
      <c r="M4" s="3"/>
      <c r="N4" s="3"/>
      <c r="P4" s="4"/>
      <c r="Q4" s="4"/>
    </row>
    <row r="6" customFormat="false" ht="15" hidden="false" customHeight="true" outlineLevel="0" collapsed="false">
      <c r="A6" s="5" t="s">
        <v>7</v>
      </c>
      <c r="B6" s="5"/>
      <c r="C6" s="5" t="s">
        <v>8</v>
      </c>
      <c r="D6" s="5" t="s">
        <v>9</v>
      </c>
      <c r="E6" s="5" t="s">
        <v>10</v>
      </c>
      <c r="F6" s="6" t="s">
        <v>11</v>
      </c>
      <c r="G6" s="6"/>
      <c r="H6" s="6"/>
      <c r="I6" s="6"/>
      <c r="J6" s="6"/>
      <c r="K6" s="6"/>
      <c r="L6" s="6"/>
      <c r="M6" s="7"/>
      <c r="N6" s="8"/>
      <c r="P6" s="9"/>
      <c r="Q6" s="9"/>
    </row>
    <row r="7" customFormat="false" ht="28.5" hidden="false" customHeight="true" outlineLevel="0" collapsed="false">
      <c r="A7" s="5"/>
      <c r="B7" s="5" t="s">
        <v>12</v>
      </c>
      <c r="C7" s="5"/>
      <c r="D7" s="5"/>
      <c r="E7" s="5"/>
      <c r="F7" s="10" t="s">
        <v>13</v>
      </c>
      <c r="G7" s="10" t="s">
        <v>14</v>
      </c>
      <c r="H7" s="10" t="s">
        <v>15</v>
      </c>
      <c r="I7" s="10" t="s">
        <v>16</v>
      </c>
      <c r="J7" s="10" t="s">
        <v>17</v>
      </c>
      <c r="K7" s="10" t="s">
        <v>18</v>
      </c>
      <c r="L7" s="10" t="s">
        <v>19</v>
      </c>
      <c r="M7" s="10" t="s">
        <v>20</v>
      </c>
      <c r="N7" s="8"/>
      <c r="O7" s="11" t="s">
        <v>13</v>
      </c>
      <c r="P7" s="11" t="s">
        <v>15</v>
      </c>
      <c r="Q7" s="12" t="s">
        <v>21</v>
      </c>
      <c r="R7" s="11" t="s">
        <v>18</v>
      </c>
      <c r="S7" s="11" t="s">
        <v>19</v>
      </c>
    </row>
    <row r="9" customFormat="false" ht="15" hidden="false" customHeight="false" outlineLevel="0" collapsed="false">
      <c r="A9" s="13"/>
      <c r="B9" s="13"/>
      <c r="C9" s="13"/>
      <c r="D9" s="13"/>
      <c r="E9" s="14" t="s">
        <v>22</v>
      </c>
      <c r="F9" s="13"/>
      <c r="G9" s="13"/>
      <c r="H9" s="13"/>
      <c r="I9" s="13"/>
      <c r="J9" s="13"/>
      <c r="K9" s="13"/>
      <c r="L9" s="13"/>
      <c r="M9" s="13"/>
      <c r="O9" s="13"/>
      <c r="P9" s="13"/>
      <c r="Q9" s="13"/>
      <c r="R9" s="13"/>
      <c r="S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O10" s="13"/>
      <c r="P10" s="13"/>
      <c r="Q10" s="13"/>
      <c r="R10" s="13"/>
      <c r="S10" s="13"/>
    </row>
    <row r="11" customFormat="false" ht="15" hidden="false" customHeight="false" outlineLevel="0" collapsed="false">
      <c r="A11" s="13"/>
      <c r="B11" s="13"/>
      <c r="C11" s="13"/>
      <c r="D11" s="13" t="s">
        <v>23</v>
      </c>
      <c r="E11" s="13" t="s">
        <v>24</v>
      </c>
      <c r="F11" s="13" t="s">
        <v>25</v>
      </c>
      <c r="G11" s="15" t="n">
        <v>353</v>
      </c>
      <c r="H11" s="15" t="n">
        <f aca="false">G11*15%</f>
        <v>52.95</v>
      </c>
      <c r="I11" s="15"/>
      <c r="J11" s="15" t="n">
        <f aca="false">G11+H11+I11</f>
        <v>405.95</v>
      </c>
      <c r="K11" s="13" t="s">
        <v>26</v>
      </c>
      <c r="L11" s="16" t="s">
        <v>27</v>
      </c>
      <c r="M11" s="17"/>
      <c r="O11" s="13"/>
      <c r="P11" s="15"/>
      <c r="Q11" s="15"/>
      <c r="R11" s="13"/>
      <c r="S11" s="16"/>
      <c r="T11" s="18" t="s">
        <v>28</v>
      </c>
    </row>
    <row r="12" customFormat="false" ht="15" hidden="false" customHeight="false" outlineLevel="0" collapsed="false">
      <c r="A12" s="13"/>
      <c r="B12" s="13"/>
      <c r="C12" s="13"/>
      <c r="D12" s="13"/>
      <c r="E12" s="13" t="s">
        <v>29</v>
      </c>
      <c r="F12" s="13" t="s">
        <v>25</v>
      </c>
      <c r="G12" s="15" t="n">
        <v>441</v>
      </c>
      <c r="H12" s="15"/>
      <c r="I12" s="15"/>
      <c r="J12" s="15"/>
      <c r="K12" s="13" t="s">
        <v>26</v>
      </c>
      <c r="L12" s="16" t="s">
        <v>27</v>
      </c>
      <c r="M12" s="17"/>
      <c r="O12" s="13"/>
      <c r="P12" s="15"/>
      <c r="Q12" s="15"/>
      <c r="R12" s="13"/>
      <c r="S12" s="16"/>
      <c r="T12" s="18" t="s">
        <v>30</v>
      </c>
    </row>
    <row r="13" customFormat="false" ht="15" hidden="false" customHeight="false" outlineLevel="0" collapsed="false">
      <c r="A13" s="13"/>
      <c r="B13" s="13"/>
      <c r="C13" s="13"/>
      <c r="D13" s="13"/>
      <c r="E13" s="13" t="s">
        <v>31</v>
      </c>
      <c r="F13" s="13" t="s">
        <v>25</v>
      </c>
      <c r="G13" s="15" t="n">
        <v>385</v>
      </c>
      <c r="H13" s="15"/>
      <c r="I13" s="15"/>
      <c r="J13" s="15"/>
      <c r="K13" s="13" t="s">
        <v>32</v>
      </c>
      <c r="L13" s="16"/>
      <c r="M13" s="17"/>
      <c r="O13" s="13"/>
      <c r="P13" s="15"/>
      <c r="Q13" s="15"/>
      <c r="R13" s="13"/>
      <c r="S13" s="16"/>
      <c r="T13" s="18" t="s">
        <v>33</v>
      </c>
    </row>
    <row r="14" customFormat="false" ht="15" hidden="false" customHeight="false" outlineLevel="0" collapsed="false">
      <c r="A14" s="13"/>
      <c r="B14" s="13"/>
      <c r="C14" s="13"/>
      <c r="D14" s="13" t="s">
        <v>34</v>
      </c>
      <c r="E14" s="13" t="s">
        <v>35</v>
      </c>
      <c r="F14" s="13" t="s">
        <v>25</v>
      </c>
      <c r="G14" s="15" t="n">
        <v>867</v>
      </c>
      <c r="H14" s="15"/>
      <c r="I14" s="15"/>
      <c r="J14" s="15"/>
      <c r="K14" s="13" t="s">
        <v>26</v>
      </c>
      <c r="L14" s="16"/>
      <c r="M14" s="17"/>
      <c r="O14" s="13"/>
      <c r="P14" s="15"/>
      <c r="Q14" s="15"/>
      <c r="R14" s="13"/>
      <c r="S14" s="16"/>
      <c r="T14" s="18" t="s">
        <v>30</v>
      </c>
    </row>
    <row r="17" customFormat="false" ht="15" hidden="false" customHeight="false" outlineLevel="0" collapsed="false">
      <c r="A17" s="13"/>
      <c r="B17" s="13"/>
      <c r="C17" s="13"/>
      <c r="D17" s="13"/>
      <c r="E17" s="14" t="s">
        <v>36</v>
      </c>
      <c r="F17" s="13"/>
      <c r="G17" s="13"/>
      <c r="H17" s="13"/>
      <c r="I17" s="13"/>
      <c r="J17" s="13"/>
      <c r="K17" s="13"/>
      <c r="L17" s="13"/>
      <c r="M17" s="13"/>
      <c r="O17" s="13"/>
      <c r="P17" s="13"/>
      <c r="Q17" s="13"/>
      <c r="R17" s="13"/>
      <c r="S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O18" s="13"/>
      <c r="P18" s="13"/>
      <c r="Q18" s="13"/>
      <c r="R18" s="13"/>
      <c r="S18" s="13"/>
    </row>
    <row r="19" customFormat="false" ht="15" hidden="false" customHeight="false" outlineLevel="0" collapsed="false">
      <c r="A19" s="13"/>
      <c r="B19" s="13"/>
      <c r="C19" s="13"/>
      <c r="D19" s="13" t="s">
        <v>23</v>
      </c>
      <c r="E19" s="13" t="s">
        <v>37</v>
      </c>
      <c r="F19" s="13" t="s">
        <v>25</v>
      </c>
      <c r="G19" s="15" t="n">
        <v>593</v>
      </c>
      <c r="H19" s="15" t="n">
        <f aca="false">G19*15%</f>
        <v>88.95</v>
      </c>
      <c r="I19" s="15"/>
      <c r="J19" s="15" t="n">
        <f aca="false">G19+H19+I19</f>
        <v>681.95</v>
      </c>
      <c r="K19" s="13" t="s">
        <v>32</v>
      </c>
      <c r="L19" s="16" t="s">
        <v>27</v>
      </c>
      <c r="M19" s="17"/>
      <c r="O19" s="13"/>
      <c r="P19" s="15"/>
      <c r="Q19" s="15"/>
      <c r="R19" s="13"/>
      <c r="S19" s="16"/>
      <c r="T19" s="18" t="s">
        <v>38</v>
      </c>
    </row>
    <row r="20" customFormat="false" ht="15" hidden="false" customHeight="false" outlineLevel="0" collapsed="false">
      <c r="A20" s="13"/>
      <c r="B20" s="13"/>
      <c r="C20" s="13"/>
      <c r="D20" s="13"/>
      <c r="E20" s="13" t="s">
        <v>39</v>
      </c>
      <c r="F20" s="13" t="s">
        <v>25</v>
      </c>
      <c r="G20" s="15" t="n">
        <f aca="false">706+156</f>
        <v>862</v>
      </c>
      <c r="H20" s="15"/>
      <c r="I20" s="15"/>
      <c r="J20" s="15"/>
      <c r="K20" s="13" t="s">
        <v>26</v>
      </c>
      <c r="L20" s="16"/>
      <c r="M20" s="17"/>
      <c r="O20" s="13"/>
      <c r="P20" s="15"/>
      <c r="Q20" s="15"/>
      <c r="R20" s="13"/>
      <c r="S20" s="16"/>
      <c r="T20" s="18" t="s">
        <v>40</v>
      </c>
    </row>
    <row r="21" customFormat="false" ht="15" hidden="false" customHeight="false" outlineLevel="0" collapsed="false">
      <c r="A21" s="13"/>
      <c r="B21" s="13"/>
      <c r="C21" s="13"/>
      <c r="D21" s="13" t="s">
        <v>34</v>
      </c>
      <c r="E21" s="13" t="s">
        <v>41</v>
      </c>
      <c r="F21" s="13" t="s">
        <v>25</v>
      </c>
      <c r="G21" s="15" t="n">
        <f aca="false">1037+218</f>
        <v>1255</v>
      </c>
      <c r="H21" s="15"/>
      <c r="I21" s="15"/>
      <c r="J21" s="15"/>
      <c r="K21" s="13" t="s">
        <v>32</v>
      </c>
      <c r="L21" s="16" t="s">
        <v>27</v>
      </c>
      <c r="M21" s="17"/>
      <c r="O21" s="13"/>
      <c r="P21" s="15"/>
      <c r="Q21" s="15"/>
      <c r="R21" s="13"/>
      <c r="S21" s="16"/>
      <c r="T21" s="18" t="s">
        <v>42</v>
      </c>
    </row>
    <row r="25" customFormat="false" ht="15" hidden="false" customHeight="false" outlineLevel="0" collapsed="false">
      <c r="E25" s="19" t="s">
        <v>43</v>
      </c>
      <c r="F25" s="20" t="n">
        <v>94.3</v>
      </c>
    </row>
    <row r="26" customFormat="false" ht="15" hidden="false" customHeight="false" outlineLevel="0" collapsed="false">
      <c r="E26" s="19" t="s">
        <v>44</v>
      </c>
      <c r="F26" s="21"/>
    </row>
    <row r="31" customFormat="false" ht="15" hidden="false" customHeight="false" outlineLevel="0" collapsed="false">
      <c r="F31" s="22" t="s">
        <v>45</v>
      </c>
      <c r="G31" s="22" t="s">
        <v>46</v>
      </c>
    </row>
    <row r="32" customFormat="false" ht="15" hidden="false" customHeight="false" outlineLevel="0" collapsed="false">
      <c r="E32" s="23" t="s">
        <v>47</v>
      </c>
      <c r="F32" s="24" t="n">
        <f aca="false">G11+G19</f>
        <v>946</v>
      </c>
      <c r="G32" s="25" t="n">
        <f aca="false">F32*$F$25</f>
        <v>89207.8</v>
      </c>
    </row>
    <row r="33" customFormat="false" ht="15" hidden="false" customHeight="false" outlineLevel="0" collapsed="false">
      <c r="E33" s="23" t="s">
        <v>48</v>
      </c>
      <c r="F33" s="24" t="n">
        <f aca="false">H11+H19</f>
        <v>141.9</v>
      </c>
      <c r="G33" s="25" t="n">
        <f aca="false">F33*$F$25</f>
        <v>13381.17</v>
      </c>
    </row>
    <row r="34" customFormat="false" ht="15" hidden="false" customHeight="false" outlineLevel="0" collapsed="false">
      <c r="E34" s="23" t="s">
        <v>49</v>
      </c>
      <c r="F34" s="24" t="n">
        <f aca="false">SUM(F32:F33)</f>
        <v>1087.9</v>
      </c>
      <c r="G34" s="25" t="n">
        <f aca="false">F34*$F$25</f>
        <v>102588.97</v>
      </c>
    </row>
    <row r="35" customFormat="false" ht="15" hidden="false" customHeight="false" outlineLevel="0" collapsed="false">
      <c r="E35" s="23" t="s">
        <v>50</v>
      </c>
      <c r="F35" s="24" t="n">
        <f aca="false">F34*5%</f>
        <v>54.395</v>
      </c>
      <c r="G35" s="25" t="n">
        <f aca="false">F35*$F$25</f>
        <v>5129.4485</v>
      </c>
    </row>
    <row r="36" customFormat="false" ht="15" hidden="false" customHeight="false" outlineLevel="0" collapsed="false">
      <c r="E36" s="23" t="s">
        <v>51</v>
      </c>
      <c r="F36" s="24" t="n">
        <f aca="false">(F34+F35)*2%</f>
        <v>22.8459</v>
      </c>
      <c r="G36" s="25" t="n">
        <f aca="false">F36*$F$25</f>
        <v>2154.36837</v>
      </c>
    </row>
    <row r="37" customFormat="false" ht="15" hidden="false" customHeight="false" outlineLevel="0" collapsed="false">
      <c r="E37" s="23" t="s">
        <v>52</v>
      </c>
      <c r="F37" s="24" t="n">
        <f aca="false">F34+F35+F36</f>
        <v>1165.1409</v>
      </c>
      <c r="G37" s="25" t="n">
        <f aca="false">F37*$F$25</f>
        <v>109872.78687</v>
      </c>
    </row>
    <row r="38" customFormat="false" ht="15" hidden="false" customHeight="false" outlineLevel="0" collapsed="false">
      <c r="E38" s="26" t="s">
        <v>53</v>
      </c>
      <c r="F38" s="24"/>
      <c r="G38" s="25" t="n">
        <f aca="false">ROUNDUP(G37,-2)</f>
        <v>109900</v>
      </c>
    </row>
    <row r="42" customFormat="false" ht="15" hidden="false" customHeight="false" outlineLevel="0" collapsed="false">
      <c r="E42" s="27" t="s">
        <v>54</v>
      </c>
      <c r="F42" s="27"/>
      <c r="G42" s="27"/>
    </row>
    <row r="43" customFormat="false" ht="26.85" hidden="false" customHeight="false" outlineLevel="0" collapsed="false">
      <c r="E43" s="28" t="s">
        <v>55</v>
      </c>
      <c r="F43" s="28" t="s">
        <v>56</v>
      </c>
      <c r="G43" s="28" t="s">
        <v>57</v>
      </c>
    </row>
    <row r="44" customFormat="false" ht="15" hidden="false" customHeight="false" outlineLevel="0" collapsed="false">
      <c r="E44" s="29"/>
      <c r="F44" s="29"/>
      <c r="G44" s="29"/>
    </row>
    <row r="45" customFormat="false" ht="15" hidden="false" customHeight="false" outlineLevel="0" collapsed="false">
      <c r="E45" s="29"/>
      <c r="F45" s="29"/>
      <c r="G45" s="29"/>
    </row>
    <row r="46" customFormat="false" ht="15" hidden="false" customHeight="false" outlineLevel="0" collapsed="false">
      <c r="E46" s="29"/>
      <c r="F46" s="29"/>
      <c r="G46" s="29"/>
    </row>
    <row r="47" customFormat="false" ht="15" hidden="false" customHeight="false" outlineLevel="0" collapsed="false">
      <c r="E47" s="29"/>
      <c r="F47" s="29"/>
      <c r="G47" s="29"/>
    </row>
    <row r="48" customFormat="false" ht="15" hidden="false" customHeight="false" outlineLevel="0" collapsed="false">
      <c r="E48" s="29"/>
      <c r="F48" s="29"/>
      <c r="G48" s="29"/>
    </row>
    <row r="49" customFormat="false" ht="15" hidden="false" customHeight="false" outlineLevel="0" collapsed="false">
      <c r="E49" s="29"/>
      <c r="F49" s="29"/>
      <c r="G49" s="29"/>
    </row>
    <row r="52" customFormat="false" ht="15" hidden="false" customHeight="false" outlineLevel="0" collapsed="false">
      <c r="E52" s="27" t="s">
        <v>58</v>
      </c>
      <c r="F52" s="27"/>
      <c r="G52" s="27"/>
    </row>
    <row r="53" customFormat="false" ht="15" hidden="false" customHeight="false" outlineLevel="0" collapsed="false">
      <c r="E53" s="28" t="s">
        <v>59</v>
      </c>
      <c r="F53" s="28" t="s">
        <v>13</v>
      </c>
      <c r="G53" s="28"/>
    </row>
    <row r="54" customFormat="false" ht="15" hidden="false" customHeight="false" outlineLevel="0" collapsed="false">
      <c r="E54" s="29" t="s">
        <v>24</v>
      </c>
      <c r="F54" s="29" t="s">
        <v>25</v>
      </c>
      <c r="G54" s="29"/>
    </row>
    <row r="55" customFormat="false" ht="15" hidden="false" customHeight="false" outlineLevel="0" collapsed="false">
      <c r="E55" s="29" t="s">
        <v>37</v>
      </c>
      <c r="F55" s="29" t="s">
        <v>25</v>
      </c>
      <c r="G55" s="29"/>
    </row>
    <row r="56" customFormat="false" ht="15" hidden="false" customHeight="false" outlineLevel="0" collapsed="false">
      <c r="E56" s="29"/>
      <c r="F56" s="29"/>
      <c r="G56" s="29"/>
    </row>
    <row r="57" customFormat="false" ht="15" hidden="false" customHeight="false" outlineLevel="0" collapsed="false">
      <c r="E57" s="29"/>
      <c r="F57" s="29"/>
      <c r="G57" s="29"/>
    </row>
    <row r="58" customFormat="false" ht="15" hidden="false" customHeight="false" outlineLevel="0" collapsed="false">
      <c r="E58" s="29"/>
      <c r="F58" s="29"/>
      <c r="G58" s="29"/>
    </row>
    <row r="59" customFormat="false" ht="15" hidden="false" customHeight="false" outlineLevel="0" collapsed="false">
      <c r="E59" s="29"/>
      <c r="F59" s="29"/>
      <c r="G59" s="29"/>
    </row>
    <row r="60" customFormat="false" ht="15" hidden="false" customHeight="false" outlineLevel="0" collapsed="false">
      <c r="E60" s="29"/>
      <c r="F60" s="29"/>
      <c r="G60" s="29"/>
    </row>
    <row r="61" customFormat="false" ht="15" hidden="false" customHeight="false" outlineLevel="0" collapsed="false">
      <c r="E61" s="29"/>
      <c r="F61" s="29"/>
      <c r="G61" s="29"/>
    </row>
  </sheetData>
  <mergeCells count="14">
    <mergeCell ref="A2:C2"/>
    <mergeCell ref="D2:L2"/>
    <mergeCell ref="A3:C3"/>
    <mergeCell ref="D3:F3"/>
    <mergeCell ref="G3:L3"/>
    <mergeCell ref="A4:C4"/>
    <mergeCell ref="D4:L4"/>
    <mergeCell ref="A6:A7"/>
    <mergeCell ref="C6:C7"/>
    <mergeCell ref="D6:D7"/>
    <mergeCell ref="E6:E7"/>
    <mergeCell ref="F6:L6"/>
    <mergeCell ref="E42:G42"/>
    <mergeCell ref="E52:G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2026-10-07T09:13:38Z</dcterms:created>
  <dc:creator>openpyxl</dc:creator>
  <dc:description/>
  <dc:language>en-US</dc:language>
  <cp:lastModifiedBy/>
  <dcterms:modified xsi:type="dcterms:W3CDTF">2026-10-07T09:13:38Z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