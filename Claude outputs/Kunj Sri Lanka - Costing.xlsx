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p" sheetId="1" state="visible" r:id="rId3"/>
    <sheet name="Quotes" sheetId="2" state="visible" r:id="rId4"/>
    <sheet name="Compare" sheetId="3" state="visible" r:id="rId5"/>
    <sheet name="Land" sheetId="4" state="visible" r:id="rId6"/>
    <sheet name="Final" sheetId="5" state="visible" r:id="rId7"/>
    <sheet name="Lists" sheetId="6" state="hidden" r:id="rId8"/>
  </sheets>
  <definedNames>
    <definedName function="false" hidden="true" localSheetId="1" name="_xlnm._FilterDatabase" vbProcedure="false">Quotes!$A$4:$AD$130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GST on tour packages is usually 5% of the package value.</t>
        </r>
      </text>
    </comment>
    <comment ref="B13" authorId="0">
      <text>
        <r>
          <rPr>
            <sz val="10"/>
            <rFont val="Arial"/>
            <family val="2"/>
          </rPr>
          <t xml:space="preserve">TCS on overseas tour packages: 2% up to ₹10 lakh per person per year, 20% above (from 1 Apr 2025). Check the client's position.</t>
        </r>
      </text>
    </comment>
  </commentList>
</comments>
</file>

<file path=xl/sharedStrings.xml><?xml version="1.0" encoding="utf-8"?>
<sst xmlns="http://schemas.openxmlformats.org/spreadsheetml/2006/main" count="1451" uniqueCount="302">
  <si>
    <t xml:space="preserve">Trip Costing — Kunj - Sri Lanka</t>
  </si>
  <si>
    <t xml:space="preserve">Yellow cells with blue text are inputs. Everything else is calculated — don't type over it.</t>
  </si>
  <si>
    <t xml:space="preserve">Exchange rates</t>
  </si>
  <si>
    <t xml:space="preserve">Trip name</t>
  </si>
  <si>
    <t xml:space="preserve">Kunj - Sri Lanka</t>
  </si>
  <si>
    <t xml:space="preserve">Currency</t>
  </si>
  <si>
    <t xml:space="preserve">₹ per 1 unit</t>
  </si>
  <si>
    <t xml:space="preserve">Note</t>
  </si>
  <si>
    <t xml:space="preserve">Client</t>
  </si>
  <si>
    <t xml:space="preserve">Kunj</t>
  </si>
  <si>
    <t xml:space="preserve">INR</t>
  </si>
  <si>
    <t xml:space="preserve">Destination</t>
  </si>
  <si>
    <t xml:space="preserve">Sri Lanka</t>
  </si>
  <si>
    <t xml:space="preserve">USD</t>
  </si>
  <si>
    <t xml:space="preserve">Bank / supplier ROE used for this trip</t>
  </si>
  <si>
    <t xml:space="preserve">Travel dates</t>
  </si>
  <si>
    <t xml:space="preserve">19 Dec 2026 – 01 Jan 2027 (14N/15D)</t>
  </si>
  <si>
    <t xml:space="preserve">EUR</t>
  </si>
  <si>
    <t xml:space="preserve">No. of pax</t>
  </si>
  <si>
    <t xml:space="preserve">GBP</t>
  </si>
  <si>
    <t xml:space="preserve">Rooms required</t>
  </si>
  <si>
    <t xml:space="preserve">5 rooms (4 DBL + 1 SGL)</t>
  </si>
  <si>
    <t xml:space="preserve">CHF</t>
  </si>
  <si>
    <t xml:space="preserve">Costing currency</t>
  </si>
  <si>
    <t xml:space="preserve">AED</t>
  </si>
  <si>
    <t xml:space="preserve">Default markup %</t>
  </si>
  <si>
    <t xml:space="preserve">LKR</t>
  </si>
  <si>
    <t xml:space="preserve">GST %</t>
  </si>
  <si>
    <t xml:space="preserve">THB</t>
  </si>
  <si>
    <t xml:space="preserve">TCS %</t>
  </si>
  <si>
    <t xml:space="preserve">SGD</t>
  </si>
  <si>
    <t xml:space="preserve">Notes</t>
  </si>
  <si>
    <t xml:space="preserve">Galle booked by client on own.</t>
  </si>
  <si>
    <t xml:space="preserve">JPY</t>
  </si>
  <si>
    <t xml:space="preserve">How this workbook works</t>
  </si>
  <si>
    <t xml:space="preserve">1. Fill in the trip details and today's exchange rates (₹ per 1 unit) above.</t>
  </si>
  <si>
    <t xml:space="preserve">2. Quotes tab: one row per price you receive — hotel, room, meal, source, currency and the amount for ONE room for the WHOLE stay (incl. taxes).</t>
  </si>
  <si>
    <t xml:space="preserve">3. The sheet converts everything to the costing currency, flags ⭐ the cheapest source for each hotel/room/meal and shows the difference vs Booking.com.</t>
  </si>
  <si>
    <t xml:space="preserve">4. Compare tab: every hotel/room with all sources side by side; the best price is highlighted green.</t>
  </si>
  <si>
    <t xml:space="preserve">5. Land tab: transfers, tours, passes, trains, flights, visa — amount + 'Total' or 'Per pax'.</t>
  </si>
  <si>
    <t xml:space="preserve">6. Put Y in the Pkg A / B / C columns for the rows each option uses. The Final tab adds them up with markup, GST and TCS, in the costing currency and in ₹.</t>
  </si>
  <si>
    <t xml:space="preserve">Hotel quotes</t>
  </si>
  <si>
    <t xml:space="preserve">Amount = price for ONE room for the WHOLE stay, incl. taxes, in the currency quoted. Grey columns are calculated.</t>
  </si>
  <si>
    <t xml:space="preserve">Red amount = exchange rate missing on Trip tab</t>
  </si>
  <si>
    <t xml:space="preserve">#</t>
  </si>
  <si>
    <t xml:space="preserve">City</t>
  </si>
  <si>
    <t xml:space="preserve">Check-in</t>
  </si>
  <si>
    <t xml:space="preserve">Nights</t>
  </si>
  <si>
    <t xml:space="preserve">Hotel</t>
  </si>
  <si>
    <t xml:space="preserve">Stars</t>
  </si>
  <si>
    <t xml:space="preserve">Room type</t>
  </si>
  <si>
    <t xml:space="preserve">Meal</t>
  </si>
  <si>
    <t xml:space="preserve">Rooms</t>
  </si>
  <si>
    <t xml:space="preserve">Source</t>
  </si>
  <si>
    <t xml:space="preserve">Amount quoted
(1 room, whole stay)</t>
  </si>
  <si>
    <t xml:space="preserve">Cost / room
(costing ccy)</t>
  </si>
  <si>
    <t xml:space="preserve">Cost / room / night</t>
  </si>
  <si>
    <t xml:space="preserve">Total cost
(all rooms)</t>
  </si>
  <si>
    <t xml:space="preserve">Free cancel until</t>
  </si>
  <si>
    <t xml:space="preserve">Days left</t>
  </si>
  <si>
    <t xml:space="preserve">Status</t>
  </si>
  <si>
    <t xml:space="preserve">Booking ref</t>
  </si>
  <si>
    <t xml:space="preserve">Label
(Base / Upg)</t>
  </si>
  <si>
    <t xml:space="preserve">Markup %
(blank = default)</t>
  </si>
  <si>
    <t xml:space="preserve">Sell / room</t>
  </si>
  <si>
    <t xml:space="preserve">Sell total
(all rooms)</t>
  </si>
  <si>
    <t xml:space="preserve">Best price?</t>
  </si>
  <si>
    <t xml:space="preserve">Booking.com
price</t>
  </si>
  <si>
    <t xml:space="preserve">Saving vs
Booking.com</t>
  </si>
  <si>
    <t xml:space="preserve">Pkg A</t>
  </si>
  <si>
    <t xml:space="preserve">Pkg B</t>
  </si>
  <si>
    <t xml:space="preserve">Pkg C</t>
  </si>
  <si>
    <t xml:space="preserve">Negombo</t>
  </si>
  <si>
    <t xml:space="preserve">Regal Reseau Hotel And Spa</t>
  </si>
  <si>
    <t xml:space="preserve">Super, Deluxe, King Bed, Sea View 28m2</t>
  </si>
  <si>
    <t xml:space="preserve">BB</t>
  </si>
  <si>
    <t xml:space="preserve">Ottila</t>
  </si>
  <si>
    <t xml:space="preserve">Quote</t>
  </si>
  <si>
    <t xml:space="preserve">Booking.com</t>
  </si>
  <si>
    <t xml:space="preserve">Jetwing Sea Hotel</t>
  </si>
  <si>
    <t xml:space="preserve">Standard Double Sea View</t>
  </si>
  <si>
    <t xml:space="preserve">Jetwing Blue</t>
  </si>
  <si>
    <t xml:space="preserve">Deluxe Room</t>
  </si>
  <si>
    <t xml:space="preserve">Base</t>
  </si>
  <si>
    <t xml:space="preserve">The Wallawwa</t>
  </si>
  <si>
    <t xml:space="preserve">Walawwa Bedrom (1 King Bed) 35sqmr</t>
  </si>
  <si>
    <t xml:space="preserve">Wattura Resort And Spa</t>
  </si>
  <si>
    <t xml:space="preserve">Suite With River View (1 King Bed) 72sqmt</t>
  </si>
  <si>
    <t xml:space="preserve">Sentido Heritance Negombo</t>
  </si>
  <si>
    <t xml:space="preserve">Deluxe King 40sqmt</t>
  </si>
  <si>
    <t xml:space="preserve">Blocked</t>
  </si>
  <si>
    <t xml:space="preserve">101-26160290/1</t>
  </si>
  <si>
    <t xml:space="preserve">Y</t>
  </si>
  <si>
    <t xml:space="preserve">101-26160603/1</t>
  </si>
  <si>
    <t xml:space="preserve">TWIN DELUXE SEA VIEW( 2 Adults ) 59sqmt</t>
  </si>
  <si>
    <t xml:space="preserve">Dambulla / Sigiriya</t>
  </si>
  <si>
    <t xml:space="preserve">Habarana Village By Cinnamon</t>
  </si>
  <si>
    <t xml:space="preserve">Superior Room 30m2</t>
  </si>
  <si>
    <t xml:space="preserve">Sigiriya Jungles Resort &amp; Spa</t>
  </si>
  <si>
    <t xml:space="preserve">Deluxe room</t>
  </si>
  <si>
    <t xml:space="preserve">101-26157689/1</t>
  </si>
  <si>
    <t xml:space="preserve">Hotel website</t>
  </si>
  <si>
    <t xml:space="preserve">Cinnamon Lodge -Habarana</t>
  </si>
  <si>
    <t xml:space="preserve">Superior room</t>
  </si>
  <si>
    <t xml:space="preserve">HB</t>
  </si>
  <si>
    <t xml:space="preserve">BTR</t>
  </si>
  <si>
    <t xml:space="preserve">Upg 2</t>
  </si>
  <si>
    <t xml:space="preserve">EKHO Sigiriya</t>
  </si>
  <si>
    <t xml:space="preserve">Deluxe Room 22 SQM</t>
  </si>
  <si>
    <t xml:space="preserve">Upg 3</t>
  </si>
  <si>
    <t xml:space="preserve">suite room</t>
  </si>
  <si>
    <t xml:space="preserve">Direct</t>
  </si>
  <si>
    <t xml:space="preserve">Kandy</t>
  </si>
  <si>
    <t xml:space="preserve">Amaya Hills Kandy</t>
  </si>
  <si>
    <t xml:space="preserve">Deluxe Room 21-22sqm</t>
  </si>
  <si>
    <t xml:space="preserve">Santani Wellness Kandy</t>
  </si>
  <si>
    <t xml:space="preserve">Chalet, Garden View DBL</t>
  </si>
  <si>
    <t xml:space="preserve">AI</t>
  </si>
  <si>
    <t xml:space="preserve">Chalet, Garden View SGL</t>
  </si>
  <si>
    <t xml:space="preserve">W15 Hanthana Estate Kandy</t>
  </si>
  <si>
    <t xml:space="preserve">Deluxe Room, 1 King Bed (1 King Bed) DBL/SGL 30sqm</t>
  </si>
  <si>
    <t xml:space="preserve">Upg 4</t>
  </si>
  <si>
    <t xml:space="preserve">Taru Villas</t>
  </si>
  <si>
    <t xml:space="preserve">Deluxe Room DBL/SGL 27sqm</t>
  </si>
  <si>
    <t xml:space="preserve">101-26161087/1</t>
  </si>
  <si>
    <t xml:space="preserve">2 room on this price</t>
  </si>
  <si>
    <t xml:space="preserve">Superior Double Room SGL 27sqm</t>
  </si>
  <si>
    <t xml:space="preserve">101-26161095/1</t>
  </si>
  <si>
    <t xml:space="preserve">1 room on this price</t>
  </si>
  <si>
    <t xml:space="preserve">Jetwing Kandy Gallery</t>
  </si>
  <si>
    <t xml:space="preserve">Luxury room DBL</t>
  </si>
  <si>
    <t xml:space="preserve">Luxury room SGL</t>
  </si>
  <si>
    <t xml:space="preserve">NRF</t>
  </si>
  <si>
    <t xml:space="preserve">Taru Villas Levita</t>
  </si>
  <si>
    <t xml:space="preserve">Superior room 35M2 DBL/SGL</t>
  </si>
  <si>
    <t xml:space="preserve">TBO</t>
  </si>
  <si>
    <t xml:space="preserve">Premier room 79M2 DBL/SGL</t>
  </si>
  <si>
    <t xml:space="preserve">Luxury Queen Room 52 sqmt</t>
  </si>
  <si>
    <t xml:space="preserve">Upg 1</t>
  </si>
  <si>
    <t xml:space="preserve">Earls Regency</t>
  </si>
  <si>
    <t xml:space="preserve">Deluxe King Room 37sqmt</t>
  </si>
  <si>
    <t xml:space="preserve">Nuwara Eliya</t>
  </si>
  <si>
    <t xml:space="preserve">The Golden Ridge Hotel</t>
  </si>
  <si>
    <t xml:space="preserve">Deluxe Room DBL/SGL 23m2</t>
  </si>
  <si>
    <t xml:space="preserve">Family Room Standard 38sqm DBL/SGL</t>
  </si>
  <si>
    <t xml:space="preserve">Bedroom Standard Family Room</t>
  </si>
  <si>
    <t xml:space="preserve">50% NRF</t>
  </si>
  <si>
    <t xml:space="preserve">Deluxe Room SGL 23m2</t>
  </si>
  <si>
    <t xml:space="preserve">Helanka</t>
  </si>
  <si>
    <t xml:space="preserve">1 room blocked</t>
  </si>
  <si>
    <t xml:space="preserve">Deluxe Room DBL 23m2</t>
  </si>
  <si>
    <t xml:space="preserve">2 Rooms blocked</t>
  </si>
  <si>
    <t xml:space="preserve">Mountain view suite</t>
  </si>
  <si>
    <t xml:space="preserve">—</t>
  </si>
  <si>
    <t xml:space="preserve">Mountain View Suite SGL</t>
  </si>
  <si>
    <t xml:space="preserve">Mountain View Suite DBL</t>
  </si>
  <si>
    <t xml:space="preserve">Junior Suite with Mountain View 32SQM</t>
  </si>
  <si>
    <t xml:space="preserve">Deluxe Quadruple Room with Mountain View</t>
  </si>
  <si>
    <t xml:space="preserve">Heritance Tea Factory</t>
  </si>
  <si>
    <t xml:space="preserve">Superior Room DBL/SGL</t>
  </si>
  <si>
    <t xml:space="preserve">The Bellwood Manor</t>
  </si>
  <si>
    <t xml:space="preserve">Deluxe Double Room, 1 King Bed, Fireplace, Garden View (1 King Bed) 31sqm DBL/SGL</t>
  </si>
  <si>
    <t xml:space="preserve">1 Junior Double Room, 1 King Bed, Bathtub, Garden View</t>
  </si>
  <si>
    <t xml:space="preserve">Goatfell Nuwara Eliya</t>
  </si>
  <si>
    <t xml:space="preserve">Concordia, Twin Beds DBL 42sqm</t>
  </si>
  <si>
    <t xml:space="preserve">Concordia, Twin Beds SGL</t>
  </si>
  <si>
    <t xml:space="preserve">The Westbury Palace</t>
  </si>
  <si>
    <t xml:space="preserve">Prestige Deluxe Room 35sqmt</t>
  </si>
  <si>
    <t xml:space="preserve">Oliphant Boutique Villa by Amaya</t>
  </si>
  <si>
    <t xml:space="preserve">Luxury Double Room 34sqmt</t>
  </si>
  <si>
    <t xml:space="preserve">Ella</t>
  </si>
  <si>
    <t xml:space="preserve">Ekho Ella</t>
  </si>
  <si>
    <t xml:space="preserve">Premier Room 34m2</t>
  </si>
  <si>
    <t xml:space="preserve">98 Acres Resort And Spa</t>
  </si>
  <si>
    <t xml:space="preserve">Premium Room 46m2</t>
  </si>
  <si>
    <t xml:space="preserve">Newburgh Ella - The Tea Factory Resort</t>
  </si>
  <si>
    <t xml:space="preserve">Golden Tip Room 32M2 DBL/SGL</t>
  </si>
  <si>
    <t xml:space="preserve">golden tip Single Room</t>
  </si>
  <si>
    <t xml:space="preserve">GTTE000799</t>
  </si>
  <si>
    <t xml:space="preserve">golden tip dbl room</t>
  </si>
  <si>
    <t xml:space="preserve">Sliver Tip Room 32M2 DBL/SGL</t>
  </si>
  <si>
    <t xml:space="preserve">Galle</t>
  </si>
  <si>
    <t xml:space="preserve">The Fort Bazaar</t>
  </si>
  <si>
    <t xml:space="preserve">Bazaar King Bedroom (1 King Bed)</t>
  </si>
  <si>
    <t xml:space="preserve">Kahanda Kanda</t>
  </si>
  <si>
    <t xml:space="preserve">Kk Plantation Pool Villa - Hibiscus (1 King Bed) 80sqmt</t>
  </si>
  <si>
    <t xml:space="preserve">Weligama Bay Marriott Resort &amp; Spa</t>
  </si>
  <si>
    <t xml:space="preserve">Superior Ocean View</t>
  </si>
  <si>
    <t xml:space="preserve">KK Plantation Pool Villa - Nelum,1 King Bed 80m2</t>
  </si>
  <si>
    <t xml:space="preserve">Tri Tower Bedroom 25sqm</t>
  </si>
  <si>
    <t xml:space="preserve">Lake Villa 72sqm</t>
  </si>
  <si>
    <t xml:space="preserve">Sunset Villa with Plunge Pool 80 sqm</t>
  </si>
  <si>
    <t xml:space="preserve">2 rooms aval</t>
  </si>
  <si>
    <t xml:space="preserve">Tri Villa 140sqm</t>
  </si>
  <si>
    <t xml:space="preserve">Le Grand Galle</t>
  </si>
  <si>
    <t xml:space="preserve">Deluxe Room 45 sqm DBL ( 2 Rooms available)</t>
  </si>
  <si>
    <t xml:space="preserve">with Complimentary Cocktail</t>
  </si>
  <si>
    <t xml:space="preserve">Deluxe room DBL No complimentary cocktails</t>
  </si>
  <si>
    <t xml:space="preserve">Deluxe Room 45 sqm SGL</t>
  </si>
  <si>
    <t xml:space="preserve">Deluxe room SGL No complimentary cocktails</t>
  </si>
  <si>
    <t xml:space="preserve">signature room 49 sqm DBL</t>
  </si>
  <si>
    <t xml:space="preserve">signature room 49 sqm DBL No complimentray cocktails</t>
  </si>
  <si>
    <t xml:space="preserve">signature room 49 sqm SGL</t>
  </si>
  <si>
    <t xml:space="preserve">signature room 49 sqm SGL No complimentray cocktails</t>
  </si>
  <si>
    <t xml:space="preserve">Araliya Beach Resort And Spa</t>
  </si>
  <si>
    <t xml:space="preserve">Deluxe Double Room 45 sqm</t>
  </si>
  <si>
    <t xml:space="preserve">Colombo</t>
  </si>
  <si>
    <t xml:space="preserve">Vivanta Colombo, Airport Garden</t>
  </si>
  <si>
    <t xml:space="preserve">Deluxe Double/ SGL 24 Sqm</t>
  </si>
  <si>
    <t xml:space="preserve">N/A</t>
  </si>
  <si>
    <t xml:space="preserve">colombo international airport hotel</t>
  </si>
  <si>
    <t xml:space="preserve">Deluxe Double Room, City View,1 Double Bed DBL/SGL29m2</t>
  </si>
  <si>
    <t xml:space="preserve">Price comparison — cost per room for the whole stay (costing currency)</t>
  </si>
  <si>
    <t xml:space="preserve">Built from the Quotes tab. Green = cheapest. Add a row here (copy the one above) if you add a new hotel/room on Quotes.</t>
  </si>
  <si>
    <t xml:space="preserve">Best price</t>
  </si>
  <si>
    <t xml:space="preserve">Best source</t>
  </si>
  <si>
    <t xml:space="preserve">Booking.com vs best</t>
  </si>
  <si>
    <t xml:space="preserve">Land, transport &amp; other services</t>
  </si>
  <si>
    <t xml:space="preserve">Basis 'Total' = amount is for the whole group; 'Per pax' = amount × Pax/Qty.</t>
  </si>
  <si>
    <t xml:space="preserve">Date</t>
  </si>
  <si>
    <t xml:space="preserve">Service</t>
  </si>
  <si>
    <t xml:space="preserve">Type</t>
  </si>
  <si>
    <t xml:space="preserve">Amount</t>
  </si>
  <si>
    <t xml:space="preserve">Basis</t>
  </si>
  <si>
    <t xml:space="preserve">Pax / Qty</t>
  </si>
  <si>
    <t xml:space="preserve">Total cost
(costing ccy)</t>
  </si>
  <si>
    <t xml:space="preserve">Sell total</t>
  </si>
  <si>
    <t xml:space="preserve">Minibus with English-speaking National Guide &amp; driver (full tour)</t>
  </si>
  <si>
    <t xml:space="preserve">Transport</t>
  </si>
  <si>
    <t xml:space="preserve">Total</t>
  </si>
  <si>
    <t xml:space="preserve">Two Toyota vans with English-speaking chauffeurs (full tour)</t>
  </si>
  <si>
    <t xml:space="preserve">2 Toyota KDH vans for arrival + mini coach with guide</t>
  </si>
  <si>
    <t xml:space="preserve">Train journey Nanu Oya to Ella</t>
  </si>
  <si>
    <t xml:space="preserve">Train</t>
  </si>
  <si>
    <t xml:space="preserve">Online</t>
  </si>
  <si>
    <t xml:space="preserve">Per pax</t>
  </si>
  <si>
    <t xml:space="preserve">Final costing</t>
  </si>
  <si>
    <t xml:space="preserve">Adds up every Quotes / Land row marked Y for each package. Change the package names and pax freely.</t>
  </si>
  <si>
    <t xml:space="preserve">How it's calculated</t>
  </si>
  <si>
    <t xml:space="preserve">Package name</t>
  </si>
  <si>
    <t xml:space="preserve">Per couple (DBL)</t>
  </si>
  <si>
    <t xml:space="preserve">Single (SGL)</t>
  </si>
  <si>
    <t xml:space="preserve">Per couple – upgraded room</t>
  </si>
  <si>
    <t xml:space="preserve">Type your own name</t>
  </si>
  <si>
    <t xml:space="preserve">Pax covered by this price</t>
  </si>
  <si>
    <t xml:space="preserve">e.g. 2 for a couple, 1 for a single</t>
  </si>
  <si>
    <t xml:space="preserve">Price basis</t>
  </si>
  <si>
    <t xml:space="preserve">Per room</t>
  </si>
  <si>
    <t xml:space="preserve">Per room = 1 room of each hotel row (per couple / per single quote). All rooms = whole group (uses the Rooms column)</t>
  </si>
  <si>
    <t xml:space="preserve">Hotels — cost to us</t>
  </si>
  <si>
    <t xml:space="preserve">Quotes rows with Y</t>
  </si>
  <si>
    <t xml:space="preserve">Land &amp; other — cost to us</t>
  </si>
  <si>
    <t xml:space="preserve">Land rows with Y</t>
  </si>
  <si>
    <t xml:space="preserve">Total cost to us</t>
  </si>
  <si>
    <t xml:space="preserve">Hotels + land</t>
  </si>
  <si>
    <t xml:space="preserve">Markup</t>
  </si>
  <si>
    <t xml:space="preserve">Sell price − cost (row-level markups)</t>
  </si>
  <si>
    <t xml:space="preserve">Cost to client</t>
  </si>
  <si>
    <t xml:space="preserve">Cost + markup</t>
  </si>
  <si>
    <t xml:space="preserve">GST</t>
  </si>
  <si>
    <t xml:space="preserve">GST % from Trip tab × cost to client</t>
  </si>
  <si>
    <t xml:space="preserve">TCS</t>
  </si>
  <si>
    <t xml:space="preserve">TCS % from Trip tab × (client cost + GST)</t>
  </si>
  <si>
    <t xml:space="preserve">Payable (costing currency)</t>
  </si>
  <si>
    <t xml:space="preserve">Client cost + GST + TCS</t>
  </si>
  <si>
    <t xml:space="preserve">Exchange rate (₹ per 1 unit)</t>
  </si>
  <si>
    <t xml:space="preserve">From Trip tab</t>
  </si>
  <si>
    <t xml:space="preserve">Payable in ₹</t>
  </si>
  <si>
    <t xml:space="preserve">Payable × rate</t>
  </si>
  <si>
    <t xml:space="preserve">Payable in ₹ — rounded up</t>
  </si>
  <si>
    <t xml:space="preserve">Rounded up to the next ₹100</t>
  </si>
  <si>
    <t xml:space="preserve">Per pax in ₹</t>
  </si>
  <si>
    <t xml:space="preserve">Rounded payable ÷ pax covered</t>
  </si>
  <si>
    <t xml:space="preserve">Markup % on cost</t>
  </si>
  <si>
    <t xml:space="preserve">Check: is the margin right?</t>
  </si>
  <si>
    <t xml:space="preserve">Earliest free-cancel deadline</t>
  </si>
  <si>
    <t xml:space="preserve">Book or cancel before this date</t>
  </si>
  <si>
    <t xml:space="preserve">Rows included (hotels / land)</t>
  </si>
  <si>
    <t xml:space="preserve">Quick check nothing is missing</t>
  </si>
  <si>
    <t xml:space="preserve">Costing currency:</t>
  </si>
  <si>
    <t xml:space="preserve">Sources</t>
  </si>
  <si>
    <t xml:space="preserve">LandType</t>
  </si>
  <si>
    <t xml:space="preserve">YN</t>
  </si>
  <si>
    <t xml:space="preserve">RO</t>
  </si>
  <si>
    <t xml:space="preserve">Requested</t>
  </si>
  <si>
    <t xml:space="preserve">Transfer</t>
  </si>
  <si>
    <t xml:space="preserve">Tour</t>
  </si>
  <si>
    <t xml:space="preserve">FB</t>
  </si>
  <si>
    <t xml:space="preserve">Booked</t>
  </si>
  <si>
    <t xml:space="preserve">Activity</t>
  </si>
  <si>
    <t xml:space="preserve">Unavailable</t>
  </si>
  <si>
    <t xml:space="preserve">DMC</t>
  </si>
  <si>
    <t xml:space="preserve">Pass</t>
  </si>
  <si>
    <t xml:space="preserve">Guide</t>
  </si>
  <si>
    <t xml:space="preserve">Flight</t>
  </si>
  <si>
    <t xml:space="preserve">Agoda</t>
  </si>
  <si>
    <t xml:space="preserve">Visa</t>
  </si>
  <si>
    <t xml:space="preserve">Expedia</t>
  </si>
  <si>
    <t xml:space="preserve">Insurance</t>
  </si>
  <si>
    <t xml:space="preserve">Tourfox</t>
  </si>
  <si>
    <t xml:space="preserve">Other</t>
  </si>
  <si>
    <t xml:space="preserve">Weshare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</si>
</sst>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0"/>
    <numFmt numFmtId="167" formatCode="0.0%"/>
    <numFmt numFmtId="168" formatCode="dd\-mmm\-yy"/>
    <numFmt numFmtId="169" formatCode="#,##0.00;[RED]\-#,##0.00;\-"/>
    <numFmt numFmtId="170" formatCode="0;[RED]\-0"/>
    <numFmt numFmtId="171" formatCode="@"/>
    <numFmt numFmtId="172" formatCode="#,##0;[RED]\-#,##0;\-"/>
    <numFmt numFmtId="173" formatCode="#,##0"/>
    <numFmt numFmtId="174" formatCode="\₹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i val="true"/>
      <sz val="9"/>
      <color rgb="FFB71C1C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EF2F7"/>
        <bgColor rgb="FFE8F5E9"/>
      </patternFill>
    </fill>
    <fill>
      <patternFill patternType="solid">
        <fgColor rgb="FFFFF9E0"/>
        <bgColor rgb="FFFFFFFF"/>
      </patternFill>
    </fill>
    <fill>
      <patternFill patternType="solid">
        <fgColor rgb="FF1F3A5F"/>
        <bgColor rgb="FF333399"/>
      </patternFill>
    </fill>
    <fill>
      <patternFill patternType="solid">
        <fgColor rgb="FFE8F5E9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BBDEFB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FFF59D"/>
          <bgColor rgb="FF000000"/>
        </patternFill>
      </fill>
    </dxf>
    <dxf>
      <font>
        <name val="Arial"/>
        <charset val="1"/>
        <family val="0"/>
        <b val="1"/>
        <color rgb="FF1B5E20"/>
      </font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E0B2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EF9A9A"/>
        </patternFill>
      </fill>
    </dxf>
    <dxf>
      <fill>
        <patternFill>
          <bgColor rgb="FFC8E6C9"/>
        </patternFill>
      </fill>
    </dxf>
    <dxf>
      <fill>
        <patternFill>
          <bgColor rgb="FFBBDEFB"/>
        </patternFill>
      </fill>
    </dxf>
    <dxf>
      <font>
        <name val="Arial"/>
        <charset val="1"/>
        <family val="0"/>
        <strike val="1"/>
        <color rgb="FF999999"/>
      </font>
    </dxf>
    <dxf>
      <font>
        <name val="Arial"/>
        <charset val="1"/>
        <family val="0"/>
        <b val="1"/>
      </font>
      <fill>
        <patternFill>
          <bgColor rgb="FFFFF59D"/>
        </patternFill>
      </fill>
    </dxf>
    <dxf>
      <font>
        <name val="Arial"/>
        <charset val="1"/>
        <family val="0"/>
        <b val="1"/>
        <color rgb="FF1B5E2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7A"/>
      <rgbColor rgb="FFFFCDD2"/>
      <rgbColor rgb="FF808080"/>
      <rgbColor rgb="FF9999FF"/>
      <rgbColor rgb="FFC62828"/>
      <rgbColor rgb="FFFFF9E0"/>
      <rgbColor rgb="FFE8F5E9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8E6C9"/>
      <rgbColor rgb="FFFFF59D"/>
      <rgbColor rgb="FFBBDEFB"/>
      <rgbColor rgb="FFEF9A9A"/>
      <rgbColor rgb="FFCC99FF"/>
      <rgbColor rgb="FFFFE0B2"/>
      <rgbColor rgb="FF3366FF"/>
      <rgbColor rgb="FF33CCCC"/>
      <rgbColor rgb="FF99CC00"/>
      <rgbColor rgb="FFFFCC00"/>
      <rgbColor rgb="FFF9A825"/>
      <rgbColor rgb="FFFF6600"/>
      <rgbColor rgb="FF666666"/>
      <rgbColor rgb="FF999999"/>
      <rgbColor rgb="FF1F3A5F"/>
      <rgbColor rgb="FF43A047"/>
      <rgbColor rgb="FF003300"/>
      <rgbColor rgb="FF333300"/>
      <rgbColor rgb="FFB71C1C"/>
      <rgbColor rgb="FF993366"/>
      <rgbColor rgb="FF333399"/>
      <rgbColor rgb="FF1B5E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D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  <c r="D4" s="6" t="s">
        <v>5</v>
      </c>
      <c r="E4" s="6" t="s">
        <v>6</v>
      </c>
      <c r="F4" s="6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D5" s="7" t="s">
        <v>10</v>
      </c>
      <c r="E5" s="8" t="n">
        <v>1</v>
      </c>
      <c r="F5" s="9"/>
    </row>
    <row r="6" customFormat="false" ht="15" hidden="false" customHeight="false" outlineLevel="0" collapsed="false">
      <c r="A6" s="4" t="s">
        <v>11</v>
      </c>
      <c r="B6" s="5" t="s">
        <v>12</v>
      </c>
      <c r="D6" s="7" t="s">
        <v>13</v>
      </c>
      <c r="E6" s="10" t="n">
        <v>94.3</v>
      </c>
      <c r="F6" s="9" t="s">
        <v>14</v>
      </c>
    </row>
    <row r="7" customFormat="false" ht="15" hidden="false" customHeight="false" outlineLevel="0" collapsed="false">
      <c r="A7" s="4" t="s">
        <v>15</v>
      </c>
      <c r="B7" s="5" t="s">
        <v>16</v>
      </c>
      <c r="D7" s="7" t="s">
        <v>17</v>
      </c>
      <c r="E7" s="10"/>
      <c r="F7" s="9"/>
    </row>
    <row r="8" customFormat="false" ht="15" hidden="false" customHeight="false" outlineLevel="0" collapsed="false">
      <c r="A8" s="4" t="s">
        <v>18</v>
      </c>
      <c r="B8" s="11" t="n">
        <v>9</v>
      </c>
      <c r="D8" s="7" t="s">
        <v>19</v>
      </c>
      <c r="E8" s="10"/>
      <c r="F8" s="9"/>
    </row>
    <row r="9" customFormat="false" ht="15" hidden="false" customHeight="false" outlineLevel="0" collapsed="false">
      <c r="A9" s="4" t="s">
        <v>20</v>
      </c>
      <c r="B9" s="5" t="s">
        <v>21</v>
      </c>
      <c r="D9" s="7" t="s">
        <v>22</v>
      </c>
      <c r="E9" s="10"/>
      <c r="F9" s="9"/>
    </row>
    <row r="10" customFormat="false" ht="15" hidden="false" customHeight="false" outlineLevel="0" collapsed="false">
      <c r="A10" s="4" t="s">
        <v>23</v>
      </c>
      <c r="B10" s="5" t="s">
        <v>13</v>
      </c>
      <c r="D10" s="7" t="s">
        <v>24</v>
      </c>
      <c r="E10" s="10"/>
      <c r="F10" s="9"/>
    </row>
    <row r="11" customFormat="false" ht="15" hidden="false" customHeight="false" outlineLevel="0" collapsed="false">
      <c r="A11" s="4" t="s">
        <v>25</v>
      </c>
      <c r="B11" s="12" t="n">
        <v>0.15</v>
      </c>
      <c r="D11" s="7" t="s">
        <v>26</v>
      </c>
      <c r="E11" s="10"/>
      <c r="F11" s="9"/>
    </row>
    <row r="12" customFormat="false" ht="15" hidden="false" customHeight="false" outlineLevel="0" collapsed="false">
      <c r="A12" s="4" t="s">
        <v>27</v>
      </c>
      <c r="B12" s="12" t="n">
        <v>0.05</v>
      </c>
      <c r="D12" s="7" t="s">
        <v>28</v>
      </c>
      <c r="E12" s="10"/>
      <c r="F12" s="9"/>
    </row>
    <row r="13" customFormat="false" ht="15" hidden="false" customHeight="false" outlineLevel="0" collapsed="false">
      <c r="A13" s="4" t="s">
        <v>29</v>
      </c>
      <c r="B13" s="12" t="n">
        <v>0.02</v>
      </c>
      <c r="D13" s="7" t="s">
        <v>30</v>
      </c>
      <c r="E13" s="10"/>
      <c r="F13" s="9"/>
    </row>
    <row r="14" customFormat="false" ht="15" hidden="false" customHeight="false" outlineLevel="0" collapsed="false">
      <c r="A14" s="4" t="s">
        <v>31</v>
      </c>
      <c r="B14" s="5" t="s">
        <v>32</v>
      </c>
      <c r="D14" s="7" t="s">
        <v>33</v>
      </c>
      <c r="E14" s="10"/>
      <c r="F14" s="9"/>
    </row>
    <row r="17" customFormat="false" ht="15" hidden="false" customHeight="false" outlineLevel="0" collapsed="false">
      <c r="A17" s="3" t="s">
        <v>34</v>
      </c>
    </row>
    <row r="18" customFormat="false" ht="27.75" hidden="false" customHeight="true" outlineLevel="0" collapsed="false">
      <c r="A18" s="13" t="s">
        <v>35</v>
      </c>
      <c r="B18" s="13"/>
      <c r="C18" s="13"/>
      <c r="D18" s="13"/>
      <c r="E18" s="13"/>
      <c r="F18" s="13"/>
    </row>
    <row r="19" customFormat="false" ht="27.75" hidden="false" customHeight="true" outlineLevel="0" collapsed="false">
      <c r="A19" s="13" t="s">
        <v>36</v>
      </c>
      <c r="B19" s="13"/>
      <c r="C19" s="13"/>
      <c r="D19" s="13"/>
      <c r="E19" s="13"/>
      <c r="F19" s="13"/>
    </row>
    <row r="20" customFormat="false" ht="27.75" hidden="false" customHeight="true" outlineLevel="0" collapsed="false">
      <c r="A20" s="13" t="s">
        <v>37</v>
      </c>
      <c r="B20" s="13"/>
      <c r="C20" s="13"/>
      <c r="D20" s="13"/>
      <c r="E20" s="13"/>
      <c r="F20" s="13"/>
    </row>
    <row r="21" customFormat="false" ht="27.75" hidden="false" customHeight="true" outlineLevel="0" collapsed="false">
      <c r="A21" s="13" t="s">
        <v>38</v>
      </c>
      <c r="B21" s="13"/>
      <c r="C21" s="13"/>
      <c r="D21" s="13"/>
      <c r="E21" s="13"/>
      <c r="F21" s="13"/>
    </row>
    <row r="22" customFormat="false" ht="27.75" hidden="false" customHeight="true" outlineLevel="0" collapsed="false">
      <c r="A22" s="13" t="s">
        <v>39</v>
      </c>
      <c r="B22" s="13"/>
      <c r="C22" s="13"/>
      <c r="D22" s="13"/>
      <c r="E22" s="13"/>
      <c r="F22" s="13"/>
    </row>
    <row r="23" customFormat="false" ht="27.75" hidden="false" customHeight="true" outlineLevel="0" collapsed="false">
      <c r="A23" s="13" t="s">
        <v>40</v>
      </c>
      <c r="B23" s="13"/>
      <c r="C23" s="13"/>
      <c r="D23" s="13"/>
      <c r="E23" s="13"/>
      <c r="F23" s="13"/>
    </row>
  </sheetData>
  <mergeCells count="6">
    <mergeCell ref="A18:F18"/>
    <mergeCell ref="A19:F19"/>
    <mergeCell ref="A20:F20"/>
    <mergeCell ref="A21:F21"/>
    <mergeCell ref="A22:F22"/>
    <mergeCell ref="A23:F23"/>
  </mergeCells>
  <dataValidations count="1">
    <dataValidation allowBlank="false" errorStyle="stop" operator="between" showDropDown="false" showErrorMessage="false" showInputMessage="false" sqref="B10" type="list">
      <formula1>Trip!$D$5:$D$14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true"/>
  </sheetPr>
  <dimension ref="A1:AD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28"/>
    <col collapsed="false" customWidth="true" hidden="false" outlineLevel="0" max="6" min="6" style="0" width="6"/>
    <col collapsed="false" customWidth="true" hidden="false" outlineLevel="0" max="7" min="7" style="0" width="30"/>
    <col collapsed="false" customWidth="true" hidden="false" outlineLevel="0" max="9" min="8" style="0" width="7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6" min="15" style="0" width="13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16"/>
    <col collapsed="false" customWidth="true" hidden="false" outlineLevel="0" max="21" min="20" style="0" width="11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6" min="24" style="0" width="12"/>
    <col collapsed="false" customWidth="true" hidden="false" outlineLevel="0" max="29" min="27" style="0" width="7"/>
    <col collapsed="false" customWidth="true" hidden="false" outlineLevel="0" max="30" min="30" style="0" width="30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3" customFormat="false" ht="15" hidden="false" customHeight="false" outlineLevel="0" collapsed="false">
      <c r="L3" s="14" t="s">
        <v>43</v>
      </c>
    </row>
    <row r="4" customFormat="false" ht="42" hidden="false" customHeight="true" outlineLevel="0" collapsed="false">
      <c r="A4" s="6" t="s">
        <v>44</v>
      </c>
      <c r="B4" s="6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52</v>
      </c>
      <c r="J4" s="6" t="s">
        <v>53</v>
      </c>
      <c r="K4" s="6" t="s">
        <v>5</v>
      </c>
      <c r="L4" s="6" t="s">
        <v>54</v>
      </c>
      <c r="M4" s="6" t="s">
        <v>55</v>
      </c>
      <c r="N4" s="6" t="s">
        <v>56</v>
      </c>
      <c r="O4" s="6" t="s">
        <v>57</v>
      </c>
      <c r="P4" s="6" t="s">
        <v>58</v>
      </c>
      <c r="Q4" s="6" t="s">
        <v>59</v>
      </c>
      <c r="R4" s="6" t="s">
        <v>60</v>
      </c>
      <c r="S4" s="6" t="s">
        <v>61</v>
      </c>
      <c r="T4" s="6" t="s">
        <v>62</v>
      </c>
      <c r="U4" s="6" t="s">
        <v>63</v>
      </c>
      <c r="V4" s="6" t="s">
        <v>64</v>
      </c>
      <c r="W4" s="6" t="s">
        <v>65</v>
      </c>
      <c r="X4" s="6" t="s">
        <v>66</v>
      </c>
      <c r="Y4" s="6" t="s">
        <v>67</v>
      </c>
      <c r="Z4" s="6" t="s">
        <v>68</v>
      </c>
      <c r="AA4" s="6" t="s">
        <v>69</v>
      </c>
      <c r="AB4" s="6" t="s">
        <v>70</v>
      </c>
      <c r="AC4" s="6" t="s">
        <v>71</v>
      </c>
      <c r="AD4" s="6" t="s">
        <v>31</v>
      </c>
    </row>
    <row r="5" customFormat="false" ht="23.85" hidden="false" customHeight="false" outlineLevel="0" collapsed="false">
      <c r="A5" s="15" t="n">
        <v>1</v>
      </c>
      <c r="B5" s="16" t="s">
        <v>72</v>
      </c>
      <c r="C5" s="17" t="n">
        <v>46375</v>
      </c>
      <c r="D5" s="16" t="n">
        <v>1</v>
      </c>
      <c r="E5" s="5" t="s">
        <v>73</v>
      </c>
      <c r="F5" s="16" t="n">
        <v>4</v>
      </c>
      <c r="G5" s="5" t="s">
        <v>74</v>
      </c>
      <c r="H5" s="16" t="s">
        <v>75</v>
      </c>
      <c r="I5" s="16" t="n">
        <v>1</v>
      </c>
      <c r="J5" s="16" t="s">
        <v>76</v>
      </c>
      <c r="K5" s="16" t="s">
        <v>10</v>
      </c>
      <c r="L5" s="10" t="n">
        <v>14213</v>
      </c>
      <c r="M5" s="18" t="n">
        <f aca="false">IF(L5="","",IFERROR(L5*INDEX(Trip!$E$5:$E$14,MATCH(K5,Trip!$D$5:$D$14,0))/INDEX(Trip!$E$5:$E$14,MATCH(Trip!$B$10,Trip!$D$5:$D$14,0)),""))</f>
        <v>150.721102863203</v>
      </c>
      <c r="N5" s="18" t="n">
        <f aca="false">IF(OR(M5="",D5=""),"",M5/D5)</f>
        <v>150.721102863203</v>
      </c>
      <c r="O5" s="18" t="n">
        <f aca="false">IF(M5="","",M5*I5)</f>
        <v>150.721102863203</v>
      </c>
      <c r="P5" s="17" t="n">
        <v>46369</v>
      </c>
      <c r="Q5" s="19" t="n">
        <f aca="true">IF(ISNUMBER(P5),P5-TODAY(),IF(P5="","",P5))</f>
        <v>67</v>
      </c>
      <c r="R5" s="16" t="s">
        <v>77</v>
      </c>
      <c r="S5" s="16"/>
      <c r="T5" s="16"/>
      <c r="U5" s="20"/>
      <c r="V5" s="18" t="n">
        <f aca="false">IF(M5="","",M5*(1+IF(U5="",Trip!$B$11,U5)))</f>
        <v>173.329268292683</v>
      </c>
      <c r="W5" s="18" t="n">
        <f aca="false">IF(V5="","",V5*I5)</f>
        <v>173.329268292683</v>
      </c>
      <c r="X5" s="21" t="str">
        <f aca="false">IF(OR(M5="",R5="Unavailable"),"",IF(M5=_xlfn.MINIFS($M$5:$M$604,$E$5:$E$604,E5,$G$5:$G$604,G5,$H$5:$H$604,H5,$R$5:$R$604,"&lt;&gt;Unavailable"),"⭐ Cheapest",""))</f>
        <v/>
      </c>
      <c r="Y5" s="18" t="n">
        <f aca="false">IF(COUNTIFS($E$5:$E$604,E5,$G$5:$G$604,G5,$J$5:$J$604,"Booking.com")=0,"",_xlfn.MINIFS($M$5:$M$604,$E$5:$E$604,E5,$G$5:$G$604,G5,$J$5:$J$604,"Booking.com"))</f>
        <v>139.141039236479</v>
      </c>
      <c r="Z5" s="18" t="n">
        <f aca="false">IF(OR(Y5="",M5="",J5="Booking.com"),"",Y5-M5)</f>
        <v>-11.5800636267232</v>
      </c>
      <c r="AA5" s="16"/>
      <c r="AB5" s="16"/>
      <c r="AC5" s="16"/>
      <c r="AD5" s="5"/>
    </row>
    <row r="6" customFormat="false" ht="23.85" hidden="false" customHeight="false" outlineLevel="0" collapsed="false">
      <c r="A6" s="15" t="n">
        <v>2</v>
      </c>
      <c r="B6" s="16" t="s">
        <v>72</v>
      </c>
      <c r="C6" s="17" t="n">
        <v>46375</v>
      </c>
      <c r="D6" s="16" t="n">
        <v>1</v>
      </c>
      <c r="E6" s="5" t="s">
        <v>73</v>
      </c>
      <c r="F6" s="16" t="n">
        <v>4</v>
      </c>
      <c r="G6" s="5" t="s">
        <v>74</v>
      </c>
      <c r="H6" s="16" t="s">
        <v>75</v>
      </c>
      <c r="I6" s="16" t="n">
        <v>1</v>
      </c>
      <c r="J6" s="16" t="s">
        <v>78</v>
      </c>
      <c r="K6" s="16" t="s">
        <v>10</v>
      </c>
      <c r="L6" s="10" t="n">
        <v>13121</v>
      </c>
      <c r="M6" s="18" t="n">
        <f aca="false">IF(L6="","",IFERROR(L6*INDEX(Trip!$E$5:$E$14,MATCH(K6,Trip!$D$5:$D$14,0))/INDEX(Trip!$E$5:$E$14,MATCH(Trip!$B$10,Trip!$D$5:$D$14,0)),""))</f>
        <v>139.141039236479</v>
      </c>
      <c r="N6" s="18" t="n">
        <f aca="false">IF(OR(M6="",D6=""),"",M6/D6)</f>
        <v>139.141039236479</v>
      </c>
      <c r="O6" s="18" t="n">
        <f aca="false">IF(M6="","",M6*I6)</f>
        <v>139.141039236479</v>
      </c>
      <c r="P6" s="17" t="n">
        <v>46372</v>
      </c>
      <c r="Q6" s="19" t="n">
        <f aca="true">IF(ISNUMBER(P6),P6-TODAY(),IF(P6="","",P6))</f>
        <v>70</v>
      </c>
      <c r="R6" s="16" t="s">
        <v>77</v>
      </c>
      <c r="S6" s="16"/>
      <c r="T6" s="16"/>
      <c r="U6" s="20"/>
      <c r="V6" s="18" t="n">
        <f aca="false">IF(M6="","",M6*(1+IF(U6="",Trip!$B$11,U6)))</f>
        <v>160.012195121951</v>
      </c>
      <c r="W6" s="18" t="n">
        <f aca="false">IF(V6="","",V6*I6)</f>
        <v>160.012195121951</v>
      </c>
      <c r="X6" s="21" t="str">
        <f aca="false">IF(OR(M6="",R6="Unavailable"),"",IF(M6=_xlfn.MINIFS($M$5:$M$604,$E$5:$E$604,E6,$G$5:$G$604,G6,$H$5:$H$604,H6,$R$5:$R$604,"&lt;&gt;Unavailable"),"⭐ Cheapest",""))</f>
        <v>⭐ Cheapest</v>
      </c>
      <c r="Y6" s="18" t="n">
        <f aca="false">IF(COUNTIFS($E$5:$E$604,E6,$G$5:$G$604,G6,$J$5:$J$604,"Booking.com")=0,"",_xlfn.MINIFS($M$5:$M$604,$E$5:$E$604,E6,$G$5:$G$604,G6,$J$5:$J$604,"Booking.com"))</f>
        <v>139.141039236479</v>
      </c>
      <c r="Z6" s="18" t="str">
        <f aca="false">IF(OR(Y6="",M6="",J6="Booking.com"),"",Y6-M6)</f>
        <v/>
      </c>
      <c r="AA6" s="16"/>
      <c r="AB6" s="16"/>
      <c r="AC6" s="16"/>
      <c r="AD6" s="5"/>
    </row>
    <row r="7" customFormat="false" ht="15" hidden="false" customHeight="false" outlineLevel="0" collapsed="false">
      <c r="A7" s="15" t="n">
        <v>3</v>
      </c>
      <c r="B7" s="16" t="s">
        <v>72</v>
      </c>
      <c r="C7" s="17" t="n">
        <v>46375</v>
      </c>
      <c r="D7" s="16" t="n">
        <v>1</v>
      </c>
      <c r="E7" s="5" t="s">
        <v>79</v>
      </c>
      <c r="F7" s="16" t="n">
        <v>4</v>
      </c>
      <c r="G7" s="5" t="s">
        <v>80</v>
      </c>
      <c r="H7" s="16" t="s">
        <v>75</v>
      </c>
      <c r="I7" s="16" t="n">
        <v>1</v>
      </c>
      <c r="J7" s="16" t="s">
        <v>76</v>
      </c>
      <c r="K7" s="16" t="s">
        <v>10</v>
      </c>
      <c r="L7" s="10" t="n">
        <v>10318</v>
      </c>
      <c r="M7" s="18" t="n">
        <f aca="false">IF(L7="","",IFERROR(L7*INDEX(Trip!$E$5:$E$14,MATCH(K7,Trip!$D$5:$D$14,0))/INDEX(Trip!$E$5:$E$14,MATCH(Trip!$B$10,Trip!$D$5:$D$14,0)),""))</f>
        <v>109.416755037116</v>
      </c>
      <c r="N7" s="18" t="n">
        <f aca="false">IF(OR(M7="",D7=""),"",M7/D7)</f>
        <v>109.416755037116</v>
      </c>
      <c r="O7" s="18" t="n">
        <f aca="false">IF(M7="","",M7*I7)</f>
        <v>109.416755037116</v>
      </c>
      <c r="P7" s="17" t="n">
        <v>46357</v>
      </c>
      <c r="Q7" s="19" t="n">
        <f aca="true">IF(ISNUMBER(P7),P7-TODAY(),IF(P7="","",P7))</f>
        <v>55</v>
      </c>
      <c r="R7" s="16" t="s">
        <v>77</v>
      </c>
      <c r="S7" s="16"/>
      <c r="T7" s="16"/>
      <c r="U7" s="20"/>
      <c r="V7" s="18" t="n">
        <f aca="false">IF(M7="","",M7*(1+IF(U7="",Trip!$B$11,U7)))</f>
        <v>125.829268292683</v>
      </c>
      <c r="W7" s="18" t="n">
        <f aca="false">IF(V7="","",V7*I7)</f>
        <v>125.829268292683</v>
      </c>
      <c r="X7" s="21" t="str">
        <f aca="false">IF(OR(M7="",R7="Unavailable"),"",IF(M7=_xlfn.MINIFS($M$5:$M$604,$E$5:$E$604,E7,$G$5:$G$604,G7,$H$5:$H$604,H7,$R$5:$R$604,"&lt;&gt;Unavailable"),"⭐ Cheapest",""))</f>
        <v>⭐ Cheapest</v>
      </c>
      <c r="Y7" s="18" t="str">
        <f aca="false">IF(COUNTIFS($E$5:$E$604,E7,$G$5:$G$604,G7,$J$5:$J$604,"Booking.com")=0,"",_xlfn.MINIFS($M$5:$M$604,$E$5:$E$604,E7,$G$5:$G$604,G7,$J$5:$J$604,"Booking.com"))</f>
        <v/>
      </c>
      <c r="Z7" s="18" t="str">
        <f aca="false">IF(OR(Y7="",M7="",J7="Booking.com"),"",Y7-M7)</f>
        <v/>
      </c>
      <c r="AA7" s="16"/>
      <c r="AB7" s="16"/>
      <c r="AC7" s="16"/>
      <c r="AD7" s="5"/>
    </row>
    <row r="8" customFormat="false" ht="15" hidden="false" customHeight="false" outlineLevel="0" collapsed="false">
      <c r="A8" s="15" t="n">
        <v>4</v>
      </c>
      <c r="B8" s="16" t="s">
        <v>72</v>
      </c>
      <c r="C8" s="17" t="n">
        <v>46375</v>
      </c>
      <c r="D8" s="16" t="n">
        <v>1</v>
      </c>
      <c r="E8" s="5" t="s">
        <v>81</v>
      </c>
      <c r="F8" s="16" t="n">
        <v>5</v>
      </c>
      <c r="G8" s="5" t="s">
        <v>82</v>
      </c>
      <c r="H8" s="16" t="s">
        <v>75</v>
      </c>
      <c r="I8" s="16" t="n">
        <v>1</v>
      </c>
      <c r="J8" s="16" t="s">
        <v>76</v>
      </c>
      <c r="K8" s="16" t="s">
        <v>10</v>
      </c>
      <c r="L8" s="10" t="n">
        <v>15158</v>
      </c>
      <c r="M8" s="18" t="n">
        <f aca="false">IF(L8="","",IFERROR(L8*INDEX(Trip!$E$5:$E$14,MATCH(K8,Trip!$D$5:$D$14,0))/INDEX(Trip!$E$5:$E$14,MATCH(Trip!$B$10,Trip!$D$5:$D$14,0)),""))</f>
        <v>160.742311770944</v>
      </c>
      <c r="N8" s="18" t="n">
        <f aca="false">IF(OR(M8="",D8=""),"",M8/D8)</f>
        <v>160.742311770944</v>
      </c>
      <c r="O8" s="18" t="n">
        <f aca="false">IF(M8="","",M8*I8)</f>
        <v>160.742311770944</v>
      </c>
      <c r="P8" s="17" t="n">
        <v>46348</v>
      </c>
      <c r="Q8" s="19" t="n">
        <f aca="true">IF(ISNUMBER(P8),P8-TODAY(),IF(P8="","",P8))</f>
        <v>46</v>
      </c>
      <c r="R8" s="16" t="s">
        <v>77</v>
      </c>
      <c r="S8" s="16"/>
      <c r="T8" s="16" t="s">
        <v>83</v>
      </c>
      <c r="U8" s="20"/>
      <c r="V8" s="18" t="n">
        <f aca="false">IF(M8="","",M8*(1+IF(U8="",Trip!$B$11,U8)))</f>
        <v>184.853658536585</v>
      </c>
      <c r="W8" s="18" t="n">
        <f aca="false">IF(V8="","",V8*I8)</f>
        <v>184.853658536585</v>
      </c>
      <c r="X8" s="21" t="str">
        <f aca="false">IF(OR(M8="",R8="Unavailable"),"",IF(M8=_xlfn.MINIFS($M$5:$M$604,$E$5:$E$604,E8,$G$5:$G$604,G8,$H$5:$H$604,H8,$R$5:$R$604,"&lt;&gt;Unavailable"),"⭐ Cheapest",""))</f>
        <v>⭐ Cheapest</v>
      </c>
      <c r="Y8" s="18" t="n">
        <f aca="false">IF(COUNTIFS($E$5:$E$604,E8,$G$5:$G$604,G8,$J$5:$J$604,"Booking.com")=0,"",_xlfn.MINIFS($M$5:$M$604,$E$5:$E$604,E8,$G$5:$G$604,G8,$J$5:$J$604,"Booking.com"))</f>
        <v>179</v>
      </c>
      <c r="Z8" s="18" t="n">
        <f aca="false">IF(OR(Y8="",M8="",J8="Booking.com"),"",Y8-M8)</f>
        <v>18.2576882290562</v>
      </c>
      <c r="AA8" s="16"/>
      <c r="AB8" s="16"/>
      <c r="AC8" s="16"/>
      <c r="AD8" s="5"/>
    </row>
    <row r="9" customFormat="false" ht="15" hidden="false" customHeight="false" outlineLevel="0" collapsed="false">
      <c r="A9" s="15" t="n">
        <v>5</v>
      </c>
      <c r="B9" s="16" t="s">
        <v>72</v>
      </c>
      <c r="C9" s="17" t="n">
        <v>46375</v>
      </c>
      <c r="D9" s="16" t="n">
        <v>1</v>
      </c>
      <c r="E9" s="5" t="s">
        <v>81</v>
      </c>
      <c r="F9" s="16" t="n">
        <v>5</v>
      </c>
      <c r="G9" s="5" t="s">
        <v>82</v>
      </c>
      <c r="H9" s="16" t="s">
        <v>75</v>
      </c>
      <c r="I9" s="16" t="n">
        <v>1</v>
      </c>
      <c r="J9" s="16" t="s">
        <v>78</v>
      </c>
      <c r="K9" s="16" t="s">
        <v>13</v>
      </c>
      <c r="L9" s="10" t="n">
        <v>179</v>
      </c>
      <c r="M9" s="18" t="n">
        <f aca="false">IF(L9="","",IFERROR(L9*INDEX(Trip!$E$5:$E$14,MATCH(K9,Trip!$D$5:$D$14,0))/INDEX(Trip!$E$5:$E$14,MATCH(Trip!$B$10,Trip!$D$5:$D$14,0)),""))</f>
        <v>179</v>
      </c>
      <c r="N9" s="18" t="n">
        <f aca="false">IF(OR(M9="",D9=""),"",M9/D9)</f>
        <v>179</v>
      </c>
      <c r="O9" s="18" t="n">
        <f aca="false">IF(M9="","",M9*I9)</f>
        <v>179</v>
      </c>
      <c r="P9" s="17"/>
      <c r="Q9" s="19" t="str">
        <f aca="true">IF(ISNUMBER(P9),P9-TODAY(),IF(P9="","",P9))</f>
        <v/>
      </c>
      <c r="R9" s="16" t="s">
        <v>77</v>
      </c>
      <c r="S9" s="16"/>
      <c r="T9" s="16"/>
      <c r="U9" s="20"/>
      <c r="V9" s="18" t="n">
        <f aca="false">IF(M9="","",M9*(1+IF(U9="",Trip!$B$11,U9)))</f>
        <v>205.85</v>
      </c>
      <c r="W9" s="18" t="n">
        <f aca="false">IF(V9="","",V9*I9)</f>
        <v>205.85</v>
      </c>
      <c r="X9" s="21" t="str">
        <f aca="false">IF(OR(M9="",R9="Unavailable"),"",IF(M9=_xlfn.MINIFS($M$5:$M$604,$E$5:$E$604,E9,$G$5:$G$604,G9,$H$5:$H$604,H9,$R$5:$R$604,"&lt;&gt;Unavailable"),"⭐ Cheapest",""))</f>
        <v/>
      </c>
      <c r="Y9" s="18" t="n">
        <f aca="false">IF(COUNTIFS($E$5:$E$604,E9,$G$5:$G$604,G9,$J$5:$J$604,"Booking.com")=0,"",_xlfn.MINIFS($M$5:$M$604,$E$5:$E$604,E9,$G$5:$G$604,G9,$J$5:$J$604,"Booking.com"))</f>
        <v>179</v>
      </c>
      <c r="Z9" s="18" t="str">
        <f aca="false">IF(OR(Y9="",M9="",J9="Booking.com"),"",Y9-M9)</f>
        <v/>
      </c>
      <c r="AA9" s="16"/>
      <c r="AB9" s="16"/>
      <c r="AC9" s="16"/>
      <c r="AD9" s="5"/>
    </row>
    <row r="10" customFormat="false" ht="23.85" hidden="false" customHeight="false" outlineLevel="0" collapsed="false">
      <c r="A10" s="15" t="n">
        <v>6</v>
      </c>
      <c r="B10" s="16" t="s">
        <v>72</v>
      </c>
      <c r="C10" s="17" t="n">
        <v>46375</v>
      </c>
      <c r="D10" s="16" t="n">
        <v>1</v>
      </c>
      <c r="E10" s="5" t="s">
        <v>84</v>
      </c>
      <c r="F10" s="16"/>
      <c r="G10" s="5" t="s">
        <v>85</v>
      </c>
      <c r="H10" s="16" t="s">
        <v>75</v>
      </c>
      <c r="I10" s="16" t="n">
        <v>1</v>
      </c>
      <c r="J10" s="16" t="s">
        <v>76</v>
      </c>
      <c r="K10" s="16" t="s">
        <v>10</v>
      </c>
      <c r="L10" s="10" t="n">
        <v>50279</v>
      </c>
      <c r="M10" s="18" t="n">
        <f aca="false">IF(L10="","",IFERROR(L10*INDEX(Trip!$E$5:$E$14,MATCH(K10,Trip!$D$5:$D$14,0))/INDEX(Trip!$E$5:$E$14,MATCH(Trip!$B$10,Trip!$D$5:$D$14,0)),""))</f>
        <v>533.181336161188</v>
      </c>
      <c r="N10" s="18" t="n">
        <f aca="false">IF(OR(M10="",D10=""),"",M10/D10)</f>
        <v>533.181336161188</v>
      </c>
      <c r="O10" s="18" t="n">
        <f aca="false">IF(M10="","",M10*I10)</f>
        <v>533.181336161188</v>
      </c>
      <c r="P10" s="17" t="n">
        <v>46342</v>
      </c>
      <c r="Q10" s="19" t="n">
        <f aca="true">IF(ISNUMBER(P10),P10-TODAY(),IF(P10="","",P10))</f>
        <v>40</v>
      </c>
      <c r="R10" s="16" t="s">
        <v>77</v>
      </c>
      <c r="S10" s="16"/>
      <c r="T10" s="16"/>
      <c r="U10" s="20"/>
      <c r="V10" s="18" t="n">
        <f aca="false">IF(M10="","",M10*(1+IF(U10="",Trip!$B$11,U10)))</f>
        <v>613.158536585366</v>
      </c>
      <c r="W10" s="18" t="n">
        <f aca="false">IF(V10="","",V10*I10)</f>
        <v>613.158536585366</v>
      </c>
      <c r="X10" s="21" t="str">
        <f aca="false">IF(OR(M10="",R10="Unavailable"),"",IF(M10=_xlfn.MINIFS($M$5:$M$604,$E$5:$E$604,E10,$G$5:$G$604,G10,$H$5:$H$604,H10,$R$5:$R$604,"&lt;&gt;Unavailable"),"⭐ Cheapest",""))</f>
        <v>⭐ Cheapest</v>
      </c>
      <c r="Y10" s="18" t="n">
        <f aca="false">IF(COUNTIFS($E$5:$E$604,E10,$G$5:$G$604,G10,$J$5:$J$604,"Booking.com")=0,"",_xlfn.MINIFS($M$5:$M$604,$E$5:$E$604,E10,$G$5:$G$604,G10,$J$5:$J$604,"Booking.com"))</f>
        <v>580</v>
      </c>
      <c r="Z10" s="18" t="n">
        <f aca="false">IF(OR(Y10="",M10="",J10="Booking.com"),"",Y10-M10)</f>
        <v>46.8186638388123</v>
      </c>
      <c r="AA10" s="16"/>
      <c r="AB10" s="16"/>
      <c r="AC10" s="16"/>
      <c r="AD10" s="5"/>
    </row>
    <row r="11" customFormat="false" ht="23.85" hidden="false" customHeight="false" outlineLevel="0" collapsed="false">
      <c r="A11" s="15" t="n">
        <v>7</v>
      </c>
      <c r="B11" s="16" t="s">
        <v>72</v>
      </c>
      <c r="C11" s="17" t="n">
        <v>46375</v>
      </c>
      <c r="D11" s="16" t="n">
        <v>1</v>
      </c>
      <c r="E11" s="5" t="s">
        <v>84</v>
      </c>
      <c r="F11" s="16"/>
      <c r="G11" s="5" t="s">
        <v>85</v>
      </c>
      <c r="H11" s="16" t="s">
        <v>75</v>
      </c>
      <c r="I11" s="16" t="n">
        <v>1</v>
      </c>
      <c r="J11" s="16" t="s">
        <v>78</v>
      </c>
      <c r="K11" s="16" t="s">
        <v>13</v>
      </c>
      <c r="L11" s="10" t="n">
        <v>580</v>
      </c>
      <c r="M11" s="18" t="n">
        <f aca="false">IF(L11="","",IFERROR(L11*INDEX(Trip!$E$5:$E$14,MATCH(K11,Trip!$D$5:$D$14,0))/INDEX(Trip!$E$5:$E$14,MATCH(Trip!$B$10,Trip!$D$5:$D$14,0)),""))</f>
        <v>580</v>
      </c>
      <c r="N11" s="18" t="n">
        <f aca="false">IF(OR(M11="",D11=""),"",M11/D11)</f>
        <v>580</v>
      </c>
      <c r="O11" s="18" t="n">
        <f aca="false">IF(M11="","",M11*I11)</f>
        <v>580</v>
      </c>
      <c r="P11" s="17"/>
      <c r="Q11" s="19" t="str">
        <f aca="true">IF(ISNUMBER(P11),P11-TODAY(),IF(P11="","",P11))</f>
        <v/>
      </c>
      <c r="R11" s="16" t="s">
        <v>77</v>
      </c>
      <c r="S11" s="16"/>
      <c r="T11" s="16"/>
      <c r="U11" s="20"/>
      <c r="V11" s="18" t="n">
        <f aca="false">IF(M11="","",M11*(1+IF(U11="",Trip!$B$11,U11)))</f>
        <v>667</v>
      </c>
      <c r="W11" s="18" t="n">
        <f aca="false">IF(V11="","",V11*I11)</f>
        <v>667</v>
      </c>
      <c r="X11" s="21" t="str">
        <f aca="false">IF(OR(M11="",R11="Unavailable"),"",IF(M11=_xlfn.MINIFS($M$5:$M$604,$E$5:$E$604,E11,$G$5:$G$604,G11,$H$5:$H$604,H11,$R$5:$R$604,"&lt;&gt;Unavailable"),"⭐ Cheapest",""))</f>
        <v/>
      </c>
      <c r="Y11" s="18" t="n">
        <f aca="false">IF(COUNTIFS($E$5:$E$604,E11,$G$5:$G$604,G11,$J$5:$J$604,"Booking.com")=0,"",_xlfn.MINIFS($M$5:$M$604,$E$5:$E$604,E11,$G$5:$G$604,G11,$J$5:$J$604,"Booking.com"))</f>
        <v>580</v>
      </c>
      <c r="Z11" s="18" t="str">
        <f aca="false">IF(OR(Y11="",M11="",J11="Booking.com"),"",Y11-M11)</f>
        <v/>
      </c>
      <c r="AA11" s="16"/>
      <c r="AB11" s="16"/>
      <c r="AC11" s="16"/>
      <c r="AD11" s="5"/>
    </row>
    <row r="12" customFormat="false" ht="23.85" hidden="false" customHeight="false" outlineLevel="0" collapsed="false">
      <c r="A12" s="15" t="n">
        <v>8</v>
      </c>
      <c r="B12" s="16" t="s">
        <v>72</v>
      </c>
      <c r="C12" s="17" t="n">
        <v>46375</v>
      </c>
      <c r="D12" s="16" t="n">
        <v>1</v>
      </c>
      <c r="E12" s="5" t="s">
        <v>86</v>
      </c>
      <c r="F12" s="16"/>
      <c r="G12" s="5" t="s">
        <v>87</v>
      </c>
      <c r="H12" s="16" t="s">
        <v>75</v>
      </c>
      <c r="I12" s="16" t="n">
        <v>1</v>
      </c>
      <c r="J12" s="16" t="s">
        <v>76</v>
      </c>
      <c r="K12" s="16" t="s">
        <v>10</v>
      </c>
      <c r="L12" s="10" t="n">
        <v>22291</v>
      </c>
      <c r="M12" s="18" t="n">
        <f aca="false">IF(L12="","",IFERROR(L12*INDEX(Trip!$E$5:$E$14,MATCH(K12,Trip!$D$5:$D$14,0))/INDEX(Trip!$E$5:$E$14,MATCH(Trip!$B$10,Trip!$D$5:$D$14,0)),""))</f>
        <v>236.383881230117</v>
      </c>
      <c r="N12" s="18" t="n">
        <f aca="false">IF(OR(M12="",D12=""),"",M12/D12)</f>
        <v>236.383881230117</v>
      </c>
      <c r="O12" s="18" t="n">
        <f aca="false">IF(M12="","",M12*I12)</f>
        <v>236.383881230117</v>
      </c>
      <c r="P12" s="17" t="n">
        <v>46369</v>
      </c>
      <c r="Q12" s="19" t="n">
        <f aca="true">IF(ISNUMBER(P12),P12-TODAY(),IF(P12="","",P12))</f>
        <v>67</v>
      </c>
      <c r="R12" s="16" t="s">
        <v>77</v>
      </c>
      <c r="S12" s="16"/>
      <c r="T12" s="16"/>
      <c r="U12" s="20"/>
      <c r="V12" s="18" t="n">
        <f aca="false">IF(M12="","",M12*(1+IF(U12="",Trip!$B$11,U12)))</f>
        <v>271.841463414634</v>
      </c>
      <c r="W12" s="18" t="n">
        <f aca="false">IF(V12="","",V12*I12)</f>
        <v>271.841463414634</v>
      </c>
      <c r="X12" s="21" t="str">
        <f aca="false">IF(OR(M12="",R12="Unavailable"),"",IF(M12=_xlfn.MINIFS($M$5:$M$604,$E$5:$E$604,E12,$G$5:$G$604,G12,$H$5:$H$604,H12,$R$5:$R$604,"&lt;&gt;Unavailable"),"⭐ Cheapest",""))</f>
        <v>⭐ Cheapest</v>
      </c>
      <c r="Y12" s="18" t="n">
        <f aca="false">IF(COUNTIFS($E$5:$E$604,E12,$G$5:$G$604,G12,$J$5:$J$604,"Booking.com")=0,"",_xlfn.MINIFS($M$5:$M$604,$E$5:$E$604,E12,$G$5:$G$604,G12,$J$5:$J$604,"Booking.com"))</f>
        <v>250</v>
      </c>
      <c r="Z12" s="18" t="n">
        <f aca="false">IF(OR(Y12="",M12="",J12="Booking.com"),"",Y12-M12)</f>
        <v>13.6161187698833</v>
      </c>
      <c r="AA12" s="16"/>
      <c r="AB12" s="16"/>
      <c r="AC12" s="16"/>
      <c r="AD12" s="5"/>
    </row>
    <row r="13" customFormat="false" ht="23.85" hidden="false" customHeight="false" outlineLevel="0" collapsed="false">
      <c r="A13" s="15" t="n">
        <v>9</v>
      </c>
      <c r="B13" s="16" t="s">
        <v>72</v>
      </c>
      <c r="C13" s="17" t="n">
        <v>46375</v>
      </c>
      <c r="D13" s="16" t="n">
        <v>1</v>
      </c>
      <c r="E13" s="5" t="s">
        <v>86</v>
      </c>
      <c r="F13" s="16"/>
      <c r="G13" s="5" t="s">
        <v>87</v>
      </c>
      <c r="H13" s="16" t="s">
        <v>75</v>
      </c>
      <c r="I13" s="16" t="n">
        <v>1</v>
      </c>
      <c r="J13" s="16" t="s">
        <v>78</v>
      </c>
      <c r="K13" s="16" t="s">
        <v>13</v>
      </c>
      <c r="L13" s="10" t="n">
        <v>250</v>
      </c>
      <c r="M13" s="18" t="n">
        <f aca="false">IF(L13="","",IFERROR(L13*INDEX(Trip!$E$5:$E$14,MATCH(K13,Trip!$D$5:$D$14,0))/INDEX(Trip!$E$5:$E$14,MATCH(Trip!$B$10,Trip!$D$5:$D$14,0)),""))</f>
        <v>250</v>
      </c>
      <c r="N13" s="18" t="n">
        <f aca="false">IF(OR(M13="",D13=""),"",M13/D13)</f>
        <v>250</v>
      </c>
      <c r="O13" s="18" t="n">
        <f aca="false">IF(M13="","",M13*I13)</f>
        <v>250</v>
      </c>
      <c r="P13" s="17"/>
      <c r="Q13" s="19" t="str">
        <f aca="true">IF(ISNUMBER(P13),P13-TODAY(),IF(P13="","",P13))</f>
        <v/>
      </c>
      <c r="R13" s="16" t="s">
        <v>77</v>
      </c>
      <c r="S13" s="16"/>
      <c r="T13" s="16"/>
      <c r="U13" s="20"/>
      <c r="V13" s="18" t="n">
        <f aca="false">IF(M13="","",M13*(1+IF(U13="",Trip!$B$11,U13)))</f>
        <v>287.5</v>
      </c>
      <c r="W13" s="18" t="n">
        <f aca="false">IF(V13="","",V13*I13)</f>
        <v>287.5</v>
      </c>
      <c r="X13" s="21" t="str">
        <f aca="false">IF(OR(M13="",R13="Unavailable"),"",IF(M13=_xlfn.MINIFS($M$5:$M$604,$E$5:$E$604,E13,$G$5:$G$604,G13,$H$5:$H$604,H13,$R$5:$R$604,"&lt;&gt;Unavailable"),"⭐ Cheapest",""))</f>
        <v/>
      </c>
      <c r="Y13" s="18" t="n">
        <f aca="false">IF(COUNTIFS($E$5:$E$604,E13,$G$5:$G$604,G13,$J$5:$J$604,"Booking.com")=0,"",_xlfn.MINIFS($M$5:$M$604,$E$5:$E$604,E13,$G$5:$G$604,G13,$J$5:$J$604,"Booking.com"))</f>
        <v>250</v>
      </c>
      <c r="Z13" s="18" t="str">
        <f aca="false">IF(OR(Y13="",M13="",J13="Booking.com"),"",Y13-M13)</f>
        <v/>
      </c>
      <c r="AA13" s="16"/>
      <c r="AB13" s="16"/>
      <c r="AC13" s="16"/>
      <c r="AD13" s="5"/>
    </row>
    <row r="14" customFormat="false" ht="15" hidden="false" customHeight="false" outlineLevel="0" collapsed="false">
      <c r="A14" s="15" t="n">
        <v>10</v>
      </c>
      <c r="B14" s="16" t="s">
        <v>72</v>
      </c>
      <c r="C14" s="17" t="n">
        <v>46375</v>
      </c>
      <c r="D14" s="16" t="n">
        <v>1</v>
      </c>
      <c r="E14" s="5" t="s">
        <v>88</v>
      </c>
      <c r="F14" s="16"/>
      <c r="G14" s="5" t="s">
        <v>89</v>
      </c>
      <c r="H14" s="16" t="s">
        <v>75</v>
      </c>
      <c r="I14" s="16" t="n">
        <v>2</v>
      </c>
      <c r="J14" s="16" t="s">
        <v>76</v>
      </c>
      <c r="K14" s="16" t="s">
        <v>10</v>
      </c>
      <c r="L14" s="10" t="n">
        <v>17754</v>
      </c>
      <c r="M14" s="18" t="n">
        <f aca="false">IF(L14="","",IFERROR(L14*INDEX(Trip!$E$5:$E$14,MATCH(K14,Trip!$D$5:$D$14,0))/INDEX(Trip!$E$5:$E$14,MATCH(Trip!$B$10,Trip!$D$5:$D$14,0)),""))</f>
        <v>188.271474019088</v>
      </c>
      <c r="N14" s="18" t="n">
        <f aca="false">IF(OR(M14="",D14=""),"",M14/D14)</f>
        <v>188.271474019088</v>
      </c>
      <c r="O14" s="18" t="n">
        <f aca="false">IF(M14="","",M14*I14)</f>
        <v>376.542948038176</v>
      </c>
      <c r="P14" s="17" t="n">
        <v>46358</v>
      </c>
      <c r="Q14" s="19" t="n">
        <f aca="true">IF(ISNUMBER(P14),P14-TODAY(),IF(P14="","",P14))</f>
        <v>56</v>
      </c>
      <c r="R14" s="16" t="s">
        <v>90</v>
      </c>
      <c r="S14" s="16" t="s">
        <v>91</v>
      </c>
      <c r="T14" s="16"/>
      <c r="U14" s="20" t="n">
        <v>0.2588</v>
      </c>
      <c r="V14" s="18" t="n">
        <f aca="false">IF(M14="","",M14*(1+IF(U14="",Trip!$B$11,U14)))</f>
        <v>236.996131495228</v>
      </c>
      <c r="W14" s="18" t="n">
        <f aca="false">IF(V14="","",V14*I14)</f>
        <v>473.992262990456</v>
      </c>
      <c r="X14" s="21" t="str">
        <f aca="false">IF(OR(M14="",R14="Unavailable"),"",IF(M14=_xlfn.MINIFS($M$5:$M$604,$E$5:$E$604,E14,$G$5:$G$604,G14,$H$5:$H$604,H14,$R$5:$R$604,"&lt;&gt;Unavailable"),"⭐ Cheapest",""))</f>
        <v/>
      </c>
      <c r="Y14" s="18" t="n">
        <f aca="false">IF(COUNTIFS($E$5:$E$604,E14,$G$5:$G$604,G14,$J$5:$J$604,"Booking.com")=0,"",_xlfn.MINIFS($M$5:$M$604,$E$5:$E$604,E14,$G$5:$G$604,G14,$J$5:$J$604,"Booking.com"))</f>
        <v>329</v>
      </c>
      <c r="Z14" s="18" t="n">
        <f aca="false">IF(OR(Y14="",M14="",J14="Booking.com"),"",Y14-M14)</f>
        <v>140.728525980912</v>
      </c>
      <c r="AA14" s="16" t="s">
        <v>92</v>
      </c>
      <c r="AB14" s="16" t="s">
        <v>92</v>
      </c>
      <c r="AC14" s="16" t="s">
        <v>92</v>
      </c>
      <c r="AD14" s="5"/>
    </row>
    <row r="15" customFormat="false" ht="15" hidden="false" customHeight="false" outlineLevel="0" collapsed="false">
      <c r="A15" s="15" t="n">
        <v>11</v>
      </c>
      <c r="B15" s="16" t="s">
        <v>72</v>
      </c>
      <c r="C15" s="17" t="n">
        <v>46375</v>
      </c>
      <c r="D15" s="16" t="n">
        <v>1</v>
      </c>
      <c r="E15" s="5" t="s">
        <v>88</v>
      </c>
      <c r="F15" s="16"/>
      <c r="G15" s="5" t="s">
        <v>89</v>
      </c>
      <c r="H15" s="16" t="s">
        <v>75</v>
      </c>
      <c r="I15" s="16" t="n">
        <v>2</v>
      </c>
      <c r="J15" s="16" t="s">
        <v>78</v>
      </c>
      <c r="K15" s="16" t="s">
        <v>13</v>
      </c>
      <c r="L15" s="10" t="n">
        <v>329</v>
      </c>
      <c r="M15" s="18" t="n">
        <f aca="false">IF(L15="","",IFERROR(L15*INDEX(Trip!$E$5:$E$14,MATCH(K15,Trip!$D$5:$D$14,0))/INDEX(Trip!$E$5:$E$14,MATCH(Trip!$B$10,Trip!$D$5:$D$14,0)),""))</f>
        <v>329</v>
      </c>
      <c r="N15" s="18" t="n">
        <f aca="false">IF(OR(M15="",D15=""),"",M15/D15)</f>
        <v>329</v>
      </c>
      <c r="O15" s="18" t="n">
        <f aca="false">IF(M15="","",M15*I15)</f>
        <v>658</v>
      </c>
      <c r="P15" s="17"/>
      <c r="Q15" s="19" t="str">
        <f aca="true">IF(ISNUMBER(P15),P15-TODAY(),IF(P15="","",P15))</f>
        <v/>
      </c>
      <c r="R15" s="16" t="s">
        <v>77</v>
      </c>
      <c r="S15" s="16"/>
      <c r="T15" s="16"/>
      <c r="U15" s="20"/>
      <c r="V15" s="18" t="n">
        <f aca="false">IF(M15="","",M15*(1+IF(U15="",Trip!$B$11,U15)))</f>
        <v>378.35</v>
      </c>
      <c r="W15" s="18" t="n">
        <f aca="false">IF(V15="","",V15*I15)</f>
        <v>756.7</v>
      </c>
      <c r="X15" s="21" t="str">
        <f aca="false">IF(OR(M15="",R15="Unavailable"),"",IF(M15=_xlfn.MINIFS($M$5:$M$604,$E$5:$E$604,E15,$G$5:$G$604,G15,$H$5:$H$604,H15,$R$5:$R$604,"&lt;&gt;Unavailable"),"⭐ Cheapest",""))</f>
        <v/>
      </c>
      <c r="Y15" s="18" t="n">
        <f aca="false">IF(COUNTIFS($E$5:$E$604,E15,$G$5:$G$604,G15,$J$5:$J$604,"Booking.com")=0,"",_xlfn.MINIFS($M$5:$M$604,$E$5:$E$604,E15,$G$5:$G$604,G15,$J$5:$J$604,"Booking.com"))</f>
        <v>329</v>
      </c>
      <c r="Z15" s="18" t="str">
        <f aca="false">IF(OR(Y15="",M15="",J15="Booking.com"),"",Y15-M15)</f>
        <v/>
      </c>
      <c r="AA15" s="16"/>
      <c r="AB15" s="16"/>
      <c r="AC15" s="16"/>
      <c r="AD15" s="5"/>
    </row>
    <row r="16" customFormat="false" ht="15" hidden="false" customHeight="false" outlineLevel="0" collapsed="false">
      <c r="A16" s="15" t="n">
        <v>12</v>
      </c>
      <c r="B16" s="16" t="s">
        <v>72</v>
      </c>
      <c r="C16" s="17" t="n">
        <v>46375</v>
      </c>
      <c r="D16" s="16" t="n">
        <v>1</v>
      </c>
      <c r="E16" s="5" t="s">
        <v>88</v>
      </c>
      <c r="F16" s="16"/>
      <c r="G16" s="5" t="s">
        <v>89</v>
      </c>
      <c r="H16" s="16" t="s">
        <v>75</v>
      </c>
      <c r="I16" s="16" t="n">
        <v>1</v>
      </c>
      <c r="J16" s="16" t="s">
        <v>76</v>
      </c>
      <c r="K16" s="16" t="s">
        <v>10</v>
      </c>
      <c r="L16" s="10" t="n">
        <v>17189</v>
      </c>
      <c r="M16" s="18" t="n">
        <f aca="false">IF(L16="","",IFERROR(L16*INDEX(Trip!$E$5:$E$14,MATCH(K16,Trip!$D$5:$D$14,0))/INDEX(Trip!$E$5:$E$14,MATCH(Trip!$B$10,Trip!$D$5:$D$14,0)),""))</f>
        <v>182.279957582185</v>
      </c>
      <c r="N16" s="18" t="n">
        <f aca="false">IF(OR(M16="",D16=""),"",M16/D16)</f>
        <v>182.279957582185</v>
      </c>
      <c r="O16" s="18" t="n">
        <f aca="false">IF(M16="","",M16*I16)</f>
        <v>182.279957582185</v>
      </c>
      <c r="P16" s="17" t="n">
        <v>46369</v>
      </c>
      <c r="Q16" s="19" t="n">
        <f aca="true">IF(ISNUMBER(P16),P16-TODAY(),IF(P16="","",P16))</f>
        <v>67</v>
      </c>
      <c r="R16" s="16" t="s">
        <v>90</v>
      </c>
      <c r="S16" s="16" t="s">
        <v>93</v>
      </c>
      <c r="T16" s="16"/>
      <c r="U16" s="20"/>
      <c r="V16" s="18" t="n">
        <f aca="false">IF(M16="","",M16*(1+IF(U16="",Trip!$B$11,U16)))</f>
        <v>209.621951219512</v>
      </c>
      <c r="W16" s="18" t="n">
        <f aca="false">IF(V16="","",V16*I16)</f>
        <v>209.621951219512</v>
      </c>
      <c r="X16" s="21" t="str">
        <f aca="false">IF(OR(M16="",R16="Unavailable"),"",IF(M16=_xlfn.MINIFS($M$5:$M$604,$E$5:$E$604,E16,$G$5:$G$604,G16,$H$5:$H$604,H16,$R$5:$R$604,"&lt;&gt;Unavailable"),"⭐ Cheapest",""))</f>
        <v>⭐ Cheapest</v>
      </c>
      <c r="Y16" s="18" t="n">
        <f aca="false">IF(COUNTIFS($E$5:$E$604,E16,$G$5:$G$604,G16,$J$5:$J$604,"Booking.com")=0,"",_xlfn.MINIFS($M$5:$M$604,$E$5:$E$604,E16,$G$5:$G$604,G16,$J$5:$J$604,"Booking.com"))</f>
        <v>329</v>
      </c>
      <c r="Z16" s="18" t="n">
        <f aca="false">IF(OR(Y16="",M16="",J16="Booking.com"),"",Y16-M16)</f>
        <v>146.720042417815</v>
      </c>
      <c r="AA16" s="16"/>
      <c r="AB16" s="16"/>
      <c r="AC16" s="16"/>
      <c r="AD16" s="5"/>
    </row>
    <row r="17" customFormat="false" ht="23.85" hidden="false" customHeight="false" outlineLevel="0" collapsed="false">
      <c r="A17" s="15" t="n">
        <v>13</v>
      </c>
      <c r="B17" s="16" t="s">
        <v>72</v>
      </c>
      <c r="C17" s="17" t="n">
        <v>46375</v>
      </c>
      <c r="D17" s="16" t="n">
        <v>1</v>
      </c>
      <c r="E17" s="5" t="s">
        <v>81</v>
      </c>
      <c r="F17" s="16"/>
      <c r="G17" s="5" t="s">
        <v>94</v>
      </c>
      <c r="H17" s="16" t="s">
        <v>75</v>
      </c>
      <c r="I17" s="16" t="n">
        <v>1</v>
      </c>
      <c r="J17" s="16" t="s">
        <v>76</v>
      </c>
      <c r="K17" s="16" t="s">
        <v>10</v>
      </c>
      <c r="L17" s="10" t="n">
        <v>16050</v>
      </c>
      <c r="M17" s="18" t="n">
        <f aca="false">IF(L17="","",IFERROR(L17*INDEX(Trip!$E$5:$E$14,MATCH(K17,Trip!$D$5:$D$14,0))/INDEX(Trip!$E$5:$E$14,MATCH(Trip!$B$10,Trip!$D$5:$D$14,0)),""))</f>
        <v>170.201484623542</v>
      </c>
      <c r="N17" s="18" t="n">
        <f aca="false">IF(OR(M17="",D17=""),"",M17/D17)</f>
        <v>170.201484623542</v>
      </c>
      <c r="O17" s="18" t="n">
        <f aca="false">IF(M17="","",M17*I17)</f>
        <v>170.201484623542</v>
      </c>
      <c r="P17" s="17"/>
      <c r="Q17" s="19" t="str">
        <f aca="true">IF(ISNUMBER(P17),P17-TODAY(),IF(P17="","",P17))</f>
        <v/>
      </c>
      <c r="R17" s="16" t="s">
        <v>77</v>
      </c>
      <c r="S17" s="16"/>
      <c r="T17" s="16"/>
      <c r="U17" s="20"/>
      <c r="V17" s="18" t="n">
        <f aca="false">IF(M17="","",M17*(1+IF(U17="",Trip!$B$11,U17)))</f>
        <v>195.731707317073</v>
      </c>
      <c r="W17" s="18" t="n">
        <f aca="false">IF(V17="","",V17*I17)</f>
        <v>195.731707317073</v>
      </c>
      <c r="X17" s="21" t="str">
        <f aca="false">IF(OR(M17="",R17="Unavailable"),"",IF(M17=_xlfn.MINIFS($M$5:$M$604,$E$5:$E$604,E17,$G$5:$G$604,G17,$H$5:$H$604,H17,$R$5:$R$604,"&lt;&gt;Unavailable"),"⭐ Cheapest",""))</f>
        <v>⭐ Cheapest</v>
      </c>
      <c r="Y17" s="18" t="str">
        <f aca="false">IF(COUNTIFS($E$5:$E$604,E17,$G$5:$G$604,G17,$J$5:$J$604,"Booking.com")=0,"",_xlfn.MINIFS($M$5:$M$604,$E$5:$E$604,E17,$G$5:$G$604,G17,$J$5:$J$604,"Booking.com"))</f>
        <v/>
      </c>
      <c r="Z17" s="18" t="str">
        <f aca="false">IF(OR(Y17="",M17="",J17="Booking.com"),"",Y17-M17)</f>
        <v/>
      </c>
      <c r="AA17" s="16"/>
      <c r="AB17" s="16"/>
      <c r="AC17" s="16"/>
      <c r="AD17" s="5"/>
    </row>
    <row r="18" customFormat="false" ht="15" hidden="false" customHeight="false" outlineLevel="0" collapsed="false">
      <c r="A18" s="15" t="n">
        <v>14</v>
      </c>
      <c r="B18" s="16" t="s">
        <v>95</v>
      </c>
      <c r="C18" s="17" t="n">
        <v>46376</v>
      </c>
      <c r="D18" s="16" t="n">
        <v>2</v>
      </c>
      <c r="E18" s="5" t="s">
        <v>96</v>
      </c>
      <c r="F18" s="16" t="n">
        <v>4</v>
      </c>
      <c r="G18" s="5" t="s">
        <v>97</v>
      </c>
      <c r="H18" s="16" t="s">
        <v>75</v>
      </c>
      <c r="I18" s="16" t="n">
        <v>1</v>
      </c>
      <c r="J18" s="16" t="s">
        <v>76</v>
      </c>
      <c r="K18" s="16" t="s">
        <v>10</v>
      </c>
      <c r="L18" s="10" t="n">
        <v>25708</v>
      </c>
      <c r="M18" s="18" t="n">
        <f aca="false">IF(L18="","",IFERROR(L18*INDEX(Trip!$E$5:$E$14,MATCH(K18,Trip!$D$5:$D$14,0))/INDEX(Trip!$E$5:$E$14,MATCH(Trip!$B$10,Trip!$D$5:$D$14,0)),""))</f>
        <v>272.619300106045</v>
      </c>
      <c r="N18" s="18" t="n">
        <f aca="false">IF(OR(M18="",D18=""),"",M18/D18)</f>
        <v>136.309650053022</v>
      </c>
      <c r="O18" s="18" t="n">
        <f aca="false">IF(M18="","",M18*I18)</f>
        <v>272.619300106045</v>
      </c>
      <c r="P18" s="17" t="n">
        <v>46358</v>
      </c>
      <c r="Q18" s="19" t="n">
        <f aca="true">IF(ISNUMBER(P18),P18-TODAY(),IF(P18="","",P18))</f>
        <v>56</v>
      </c>
      <c r="R18" s="16" t="s">
        <v>77</v>
      </c>
      <c r="S18" s="16"/>
      <c r="T18" s="16" t="s">
        <v>83</v>
      </c>
      <c r="U18" s="20"/>
      <c r="V18" s="18" t="n">
        <f aca="false">IF(M18="","",M18*(1+IF(U18="",Trip!$B$11,U18)))</f>
        <v>313.512195121951</v>
      </c>
      <c r="W18" s="18" t="n">
        <f aca="false">IF(V18="","",V18*I18)</f>
        <v>313.512195121951</v>
      </c>
      <c r="X18" s="21" t="str">
        <f aca="false">IF(OR(M18="",R18="Unavailable"),"",IF(M18=_xlfn.MINIFS($M$5:$M$604,$E$5:$E$604,E18,$G$5:$G$604,G18,$H$5:$H$604,H18,$R$5:$R$604,"&lt;&gt;Unavailable"),"⭐ Cheapest",""))</f>
        <v>⭐ Cheapest</v>
      </c>
      <c r="Y18" s="18" t="n">
        <f aca="false">IF(COUNTIFS($E$5:$E$604,E18,$G$5:$G$604,G18,$J$5:$J$604,"Booking.com")=0,"",_xlfn.MINIFS($M$5:$M$604,$E$5:$E$604,E18,$G$5:$G$604,G18,$J$5:$J$604,"Booking.com"))</f>
        <v>347.401908801697</v>
      </c>
      <c r="Z18" s="18" t="n">
        <f aca="false">IF(OR(Y18="",M18="",J18="Booking.com"),"",Y18-M18)</f>
        <v>74.7826086956522</v>
      </c>
      <c r="AA18" s="16"/>
      <c r="AB18" s="16"/>
      <c r="AC18" s="16"/>
      <c r="AD18" s="5"/>
    </row>
    <row r="19" customFormat="false" ht="15" hidden="false" customHeight="false" outlineLevel="0" collapsed="false">
      <c r="A19" s="15" t="n">
        <v>15</v>
      </c>
      <c r="B19" s="16" t="s">
        <v>95</v>
      </c>
      <c r="C19" s="17" t="n">
        <v>46376</v>
      </c>
      <c r="D19" s="16" t="n">
        <v>2</v>
      </c>
      <c r="E19" s="5" t="s">
        <v>96</v>
      </c>
      <c r="F19" s="16" t="n">
        <v>4</v>
      </c>
      <c r="G19" s="5" t="s">
        <v>97</v>
      </c>
      <c r="H19" s="16" t="s">
        <v>75</v>
      </c>
      <c r="I19" s="16" t="n">
        <v>1</v>
      </c>
      <c r="J19" s="16" t="s">
        <v>78</v>
      </c>
      <c r="K19" s="16" t="s">
        <v>10</v>
      </c>
      <c r="L19" s="10" t="n">
        <v>32760</v>
      </c>
      <c r="M19" s="18" t="n">
        <f aca="false">IF(L19="","",IFERROR(L19*INDEX(Trip!$E$5:$E$14,MATCH(K19,Trip!$D$5:$D$14,0))/INDEX(Trip!$E$5:$E$14,MATCH(Trip!$B$10,Trip!$D$5:$D$14,0)),""))</f>
        <v>347.401908801697</v>
      </c>
      <c r="N19" s="18" t="n">
        <f aca="false">IF(OR(M19="",D19=""),"",M19/D19)</f>
        <v>173.700954400848</v>
      </c>
      <c r="O19" s="18" t="n">
        <f aca="false">IF(M19="","",M19*I19)</f>
        <v>347.401908801697</v>
      </c>
      <c r="P19" s="17" t="n">
        <v>46368</v>
      </c>
      <c r="Q19" s="19" t="n">
        <f aca="true">IF(ISNUMBER(P19),P19-TODAY(),IF(P19="","",P19))</f>
        <v>66</v>
      </c>
      <c r="R19" s="16" t="s">
        <v>77</v>
      </c>
      <c r="S19" s="16"/>
      <c r="T19" s="16"/>
      <c r="U19" s="20"/>
      <c r="V19" s="18" t="n">
        <f aca="false">IF(M19="","",M19*(1+IF(U19="",Trip!$B$11,U19)))</f>
        <v>399.512195121951</v>
      </c>
      <c r="W19" s="18" t="n">
        <f aca="false">IF(V19="","",V19*I19)</f>
        <v>399.512195121951</v>
      </c>
      <c r="X19" s="21" t="str">
        <f aca="false">IF(OR(M19="",R19="Unavailable"),"",IF(M19=_xlfn.MINIFS($M$5:$M$604,$E$5:$E$604,E19,$G$5:$G$604,G19,$H$5:$H$604,H19,$R$5:$R$604,"&lt;&gt;Unavailable"),"⭐ Cheapest",""))</f>
        <v/>
      </c>
      <c r="Y19" s="18" t="n">
        <f aca="false">IF(COUNTIFS($E$5:$E$604,E19,$G$5:$G$604,G19,$J$5:$J$604,"Booking.com")=0,"",_xlfn.MINIFS($M$5:$M$604,$E$5:$E$604,E19,$G$5:$G$604,G19,$J$5:$J$604,"Booking.com"))</f>
        <v>347.401908801697</v>
      </c>
      <c r="Z19" s="18" t="str">
        <f aca="false">IF(OR(Y19="",M19="",J19="Booking.com"),"",Y19-M19)</f>
        <v/>
      </c>
      <c r="AA19" s="16"/>
      <c r="AB19" s="16"/>
      <c r="AC19" s="16"/>
      <c r="AD19" s="5"/>
    </row>
    <row r="20" customFormat="false" ht="15" hidden="false" customHeight="false" outlineLevel="0" collapsed="false">
      <c r="A20" s="15" t="n">
        <v>16</v>
      </c>
      <c r="B20" s="16" t="s">
        <v>95</v>
      </c>
      <c r="C20" s="17" t="n">
        <v>46376</v>
      </c>
      <c r="D20" s="16" t="n">
        <v>2</v>
      </c>
      <c r="E20" s="5" t="s">
        <v>98</v>
      </c>
      <c r="F20" s="16"/>
      <c r="G20" s="5" t="s">
        <v>99</v>
      </c>
      <c r="H20" s="16" t="s">
        <v>75</v>
      </c>
      <c r="I20" s="16" t="n">
        <v>1</v>
      </c>
      <c r="J20" s="16" t="s">
        <v>76</v>
      </c>
      <c r="K20" s="16" t="s">
        <v>10</v>
      </c>
      <c r="L20" s="10" t="n">
        <v>39204.2</v>
      </c>
      <c r="M20" s="18" t="n">
        <f aca="false">IF(L20="","",IFERROR(L20*INDEX(Trip!$E$5:$E$14,MATCH(K20,Trip!$D$5:$D$14,0))/INDEX(Trip!$E$5:$E$14,MATCH(Trip!$B$10,Trip!$D$5:$D$14,0)),""))</f>
        <v>415.739130434783</v>
      </c>
      <c r="N20" s="18" t="n">
        <f aca="false">IF(OR(M20="",D20=""),"",M20/D20)</f>
        <v>207.869565217391</v>
      </c>
      <c r="O20" s="18" t="n">
        <f aca="false">IF(M20="","",M20*I20)</f>
        <v>415.739130434783</v>
      </c>
      <c r="P20" s="17" t="n">
        <v>46365</v>
      </c>
      <c r="Q20" s="19" t="n">
        <f aca="true">IF(ISNUMBER(P20),P20-TODAY(),IF(P20="","",P20))</f>
        <v>63</v>
      </c>
      <c r="R20" s="16" t="s">
        <v>90</v>
      </c>
      <c r="S20" s="16" t="s">
        <v>100</v>
      </c>
      <c r="T20" s="16"/>
      <c r="U20" s="20" t="n">
        <v>0.0006</v>
      </c>
      <c r="V20" s="18" t="n">
        <f aca="false">IF(M20="","",M20*(1+IF(U20="",Trip!$B$11,U20)))</f>
        <v>415.988573913043</v>
      </c>
      <c r="W20" s="18" t="n">
        <f aca="false">IF(V20="","",V20*I20)</f>
        <v>415.988573913043</v>
      </c>
      <c r="X20" s="21" t="str">
        <f aca="false">IF(OR(M20="",R20="Unavailable"),"",IF(M20=_xlfn.MINIFS($M$5:$M$604,$E$5:$E$604,E20,$G$5:$G$604,G20,$H$5:$H$604,H20,$R$5:$R$604,"&lt;&gt;Unavailable"),"⭐ Cheapest",""))</f>
        <v>⭐ Cheapest</v>
      </c>
      <c r="Y20" s="18" t="str">
        <f aca="false">IF(COUNTIFS($E$5:$E$604,E20,$G$5:$G$604,G20,$J$5:$J$604,"Booking.com")=0,"",_xlfn.MINIFS($M$5:$M$604,$E$5:$E$604,E20,$G$5:$G$604,G20,$J$5:$J$604,"Booking.com"))</f>
        <v/>
      </c>
      <c r="Z20" s="18" t="str">
        <f aca="false">IF(OR(Y20="",M20="",J20="Booking.com"),"",Y20-M20)</f>
        <v/>
      </c>
      <c r="AA20" s="16" t="s">
        <v>92</v>
      </c>
      <c r="AB20" s="16" t="s">
        <v>92</v>
      </c>
      <c r="AC20" s="16" t="s">
        <v>92</v>
      </c>
      <c r="AD20" s="5"/>
    </row>
    <row r="21" customFormat="false" ht="15" hidden="false" customHeight="false" outlineLevel="0" collapsed="false">
      <c r="A21" s="15" t="n">
        <v>17</v>
      </c>
      <c r="B21" s="16" t="s">
        <v>95</v>
      </c>
      <c r="C21" s="17" t="n">
        <v>46376</v>
      </c>
      <c r="D21" s="16" t="n">
        <v>2</v>
      </c>
      <c r="E21" s="5" t="s">
        <v>98</v>
      </c>
      <c r="F21" s="16"/>
      <c r="G21" s="5" t="s">
        <v>99</v>
      </c>
      <c r="H21" s="16" t="s">
        <v>75</v>
      </c>
      <c r="I21" s="16" t="n">
        <v>1</v>
      </c>
      <c r="J21" s="16" t="s">
        <v>101</v>
      </c>
      <c r="K21" s="16" t="s">
        <v>13</v>
      </c>
      <c r="L21" s="10" t="n">
        <v>416</v>
      </c>
      <c r="M21" s="18" t="n">
        <f aca="false">IF(L21="","",IFERROR(L21*INDEX(Trip!$E$5:$E$14,MATCH(K21,Trip!$D$5:$D$14,0))/INDEX(Trip!$E$5:$E$14,MATCH(Trip!$B$10,Trip!$D$5:$D$14,0)),""))</f>
        <v>416</v>
      </c>
      <c r="N21" s="18" t="n">
        <f aca="false">IF(OR(M21="",D21=""),"",M21/D21)</f>
        <v>208</v>
      </c>
      <c r="O21" s="18" t="n">
        <f aca="false">IF(M21="","",M21*I21)</f>
        <v>416</v>
      </c>
      <c r="P21" s="17"/>
      <c r="Q21" s="19" t="str">
        <f aca="true">IF(ISNUMBER(P21),P21-TODAY(),IF(P21="","",P21))</f>
        <v/>
      </c>
      <c r="R21" s="16" t="s">
        <v>77</v>
      </c>
      <c r="S21" s="16"/>
      <c r="T21" s="16"/>
      <c r="U21" s="20"/>
      <c r="V21" s="18" t="n">
        <f aca="false">IF(M21="","",M21*(1+IF(U21="",Trip!$B$11,U21)))</f>
        <v>478.4</v>
      </c>
      <c r="W21" s="18" t="n">
        <f aca="false">IF(V21="","",V21*I21)</f>
        <v>478.4</v>
      </c>
      <c r="X21" s="21" t="str">
        <f aca="false">IF(OR(M21="",R21="Unavailable"),"",IF(M21=_xlfn.MINIFS($M$5:$M$604,$E$5:$E$604,E21,$G$5:$G$604,G21,$H$5:$H$604,H21,$R$5:$R$604,"&lt;&gt;Unavailable"),"⭐ Cheapest",""))</f>
        <v/>
      </c>
      <c r="Y21" s="18" t="str">
        <f aca="false">IF(COUNTIFS($E$5:$E$604,E21,$G$5:$G$604,G21,$J$5:$J$604,"Booking.com")=0,"",_xlfn.MINIFS($M$5:$M$604,$E$5:$E$604,E21,$G$5:$G$604,G21,$J$5:$J$604,"Booking.com"))</f>
        <v/>
      </c>
      <c r="Z21" s="18" t="str">
        <f aca="false">IF(OR(Y21="",M21="",J21="Booking.com"),"",Y21-M21)</f>
        <v/>
      </c>
      <c r="AA21" s="16"/>
      <c r="AB21" s="16"/>
      <c r="AC21" s="16"/>
      <c r="AD21" s="5"/>
    </row>
    <row r="22" customFormat="false" ht="15" hidden="false" customHeight="false" outlineLevel="0" collapsed="false">
      <c r="A22" s="15" t="n">
        <v>18</v>
      </c>
      <c r="B22" s="16" t="s">
        <v>95</v>
      </c>
      <c r="C22" s="17" t="n">
        <v>46376</v>
      </c>
      <c r="D22" s="16" t="n">
        <v>2</v>
      </c>
      <c r="E22" s="5" t="s">
        <v>102</v>
      </c>
      <c r="F22" s="16" t="n">
        <v>5</v>
      </c>
      <c r="G22" s="5" t="s">
        <v>103</v>
      </c>
      <c r="H22" s="16" t="s">
        <v>104</v>
      </c>
      <c r="I22" s="16" t="n">
        <v>1</v>
      </c>
      <c r="J22" s="16" t="s">
        <v>105</v>
      </c>
      <c r="K22" s="16" t="s">
        <v>13</v>
      </c>
      <c r="L22" s="10" t="n">
        <v>340</v>
      </c>
      <c r="M22" s="18" t="n">
        <f aca="false">IF(L22="","",IFERROR(L22*INDEX(Trip!$E$5:$E$14,MATCH(K22,Trip!$D$5:$D$14,0))/INDEX(Trip!$E$5:$E$14,MATCH(Trip!$B$10,Trip!$D$5:$D$14,0)),""))</f>
        <v>340</v>
      </c>
      <c r="N22" s="18" t="n">
        <f aca="false">IF(OR(M22="",D22=""),"",M22/D22)</f>
        <v>170</v>
      </c>
      <c r="O22" s="18" t="n">
        <f aca="false">IF(M22="","",M22*I22)</f>
        <v>340</v>
      </c>
      <c r="P22" s="17"/>
      <c r="Q22" s="19" t="str">
        <f aca="true">IF(ISNUMBER(P22),P22-TODAY(),IF(P22="","",P22))</f>
        <v/>
      </c>
      <c r="R22" s="16" t="s">
        <v>77</v>
      </c>
      <c r="S22" s="16"/>
      <c r="T22" s="16" t="s">
        <v>106</v>
      </c>
      <c r="U22" s="20"/>
      <c r="V22" s="18" t="n">
        <f aca="false">IF(M22="","",M22*(1+IF(U22="",Trip!$B$11,U22)))</f>
        <v>391</v>
      </c>
      <c r="W22" s="18" t="n">
        <f aca="false">IF(V22="","",V22*I22)</f>
        <v>391</v>
      </c>
      <c r="X22" s="21" t="str">
        <f aca="false">IF(OR(M22="",R22="Unavailable"),"",IF(M22=_xlfn.MINIFS($M$5:$M$604,$E$5:$E$604,E22,$G$5:$G$604,G22,$H$5:$H$604,H22,$R$5:$R$604,"&lt;&gt;Unavailable"),"⭐ Cheapest",""))</f>
        <v>⭐ Cheapest</v>
      </c>
      <c r="Y22" s="18" t="n">
        <f aca="false">IF(COUNTIFS($E$5:$E$604,E22,$G$5:$G$604,G22,$J$5:$J$604,"Booking.com")=0,"",_xlfn.MINIFS($M$5:$M$604,$E$5:$E$604,E22,$G$5:$G$604,G22,$J$5:$J$604,"Booking.com"))</f>
        <v>438.176033934252</v>
      </c>
      <c r="Z22" s="18" t="n">
        <f aca="false">IF(OR(Y22="",M22="",J22="Booking.com"),"",Y22-M22)</f>
        <v>98.1760339342524</v>
      </c>
      <c r="AA22" s="16"/>
      <c r="AB22" s="16"/>
      <c r="AC22" s="16"/>
      <c r="AD22" s="5"/>
    </row>
    <row r="23" customFormat="false" ht="15" hidden="false" customHeight="false" outlineLevel="0" collapsed="false">
      <c r="A23" s="15" t="n">
        <v>19</v>
      </c>
      <c r="B23" s="16" t="s">
        <v>95</v>
      </c>
      <c r="C23" s="17" t="n">
        <v>46376</v>
      </c>
      <c r="D23" s="16" t="n">
        <v>2</v>
      </c>
      <c r="E23" s="5" t="s">
        <v>102</v>
      </c>
      <c r="F23" s="16" t="n">
        <v>5</v>
      </c>
      <c r="G23" s="5" t="s">
        <v>103</v>
      </c>
      <c r="H23" s="16" t="s">
        <v>104</v>
      </c>
      <c r="I23" s="16" t="n">
        <v>1</v>
      </c>
      <c r="J23" s="16" t="s">
        <v>78</v>
      </c>
      <c r="K23" s="16" t="s">
        <v>10</v>
      </c>
      <c r="L23" s="10" t="n">
        <v>41320</v>
      </c>
      <c r="M23" s="18" t="n">
        <f aca="false">IF(L23="","",IFERROR(L23*INDEX(Trip!$E$5:$E$14,MATCH(K23,Trip!$D$5:$D$14,0))/INDEX(Trip!$E$5:$E$14,MATCH(Trip!$B$10,Trip!$D$5:$D$14,0)),""))</f>
        <v>438.176033934252</v>
      </c>
      <c r="N23" s="18" t="n">
        <f aca="false">IF(OR(M23="",D23=""),"",M23/D23)</f>
        <v>219.088016967126</v>
      </c>
      <c r="O23" s="18" t="n">
        <f aca="false">IF(M23="","",M23*I23)</f>
        <v>438.176033934252</v>
      </c>
      <c r="P23" s="17" t="n">
        <v>46368</v>
      </c>
      <c r="Q23" s="19" t="n">
        <f aca="true">IF(ISNUMBER(P23),P23-TODAY(),IF(P23="","",P23))</f>
        <v>66</v>
      </c>
      <c r="R23" s="16" t="s">
        <v>77</v>
      </c>
      <c r="S23" s="16"/>
      <c r="T23" s="16"/>
      <c r="U23" s="20"/>
      <c r="V23" s="18" t="n">
        <f aca="false">IF(M23="","",M23*(1+IF(U23="",Trip!$B$11,U23)))</f>
        <v>503.90243902439</v>
      </c>
      <c r="W23" s="18" t="n">
        <f aca="false">IF(V23="","",V23*I23)</f>
        <v>503.90243902439</v>
      </c>
      <c r="X23" s="21" t="str">
        <f aca="false">IF(OR(M23="",R23="Unavailable"),"",IF(M23=_xlfn.MINIFS($M$5:$M$604,$E$5:$E$604,E23,$G$5:$G$604,G23,$H$5:$H$604,H23,$R$5:$R$604,"&lt;&gt;Unavailable"),"⭐ Cheapest",""))</f>
        <v/>
      </c>
      <c r="Y23" s="18" t="n">
        <f aca="false">IF(COUNTIFS($E$5:$E$604,E23,$G$5:$G$604,G23,$J$5:$J$604,"Booking.com")=0,"",_xlfn.MINIFS($M$5:$M$604,$E$5:$E$604,E23,$G$5:$G$604,G23,$J$5:$J$604,"Booking.com"))</f>
        <v>438.176033934252</v>
      </c>
      <c r="Z23" s="18" t="str">
        <f aca="false">IF(OR(Y23="",M23="",J23="Booking.com"),"",Y23-M23)</f>
        <v/>
      </c>
      <c r="AA23" s="16"/>
      <c r="AB23" s="16"/>
      <c r="AC23" s="16"/>
      <c r="AD23" s="5"/>
    </row>
    <row r="24" customFormat="false" ht="15" hidden="false" customHeight="false" outlineLevel="0" collapsed="false">
      <c r="A24" s="15" t="n">
        <v>20</v>
      </c>
      <c r="B24" s="16" t="s">
        <v>95</v>
      </c>
      <c r="C24" s="17" t="n">
        <v>46376</v>
      </c>
      <c r="D24" s="16" t="n">
        <v>2</v>
      </c>
      <c r="E24" s="5" t="s">
        <v>107</v>
      </c>
      <c r="F24" s="16"/>
      <c r="G24" s="5" t="s">
        <v>108</v>
      </c>
      <c r="H24" s="16" t="s">
        <v>75</v>
      </c>
      <c r="I24" s="16" t="n">
        <v>1</v>
      </c>
      <c r="J24" s="16" t="s">
        <v>76</v>
      </c>
      <c r="K24" s="16" t="s">
        <v>10</v>
      </c>
      <c r="L24" s="10" t="n">
        <v>26817</v>
      </c>
      <c r="M24" s="18" t="n">
        <f aca="false">IF(L24="","",IFERROR(L24*INDEX(Trip!$E$5:$E$14,MATCH(K24,Trip!$D$5:$D$14,0))/INDEX(Trip!$E$5:$E$14,MATCH(Trip!$B$10,Trip!$D$5:$D$14,0)),""))</f>
        <v>284.379639448568</v>
      </c>
      <c r="N24" s="18" t="n">
        <f aca="false">IF(OR(M24="",D24=""),"",M24/D24)</f>
        <v>142.189819724284</v>
      </c>
      <c r="O24" s="18" t="n">
        <f aca="false">IF(M24="","",M24*I24)</f>
        <v>284.379639448568</v>
      </c>
      <c r="P24" s="17" t="n">
        <v>46362</v>
      </c>
      <c r="Q24" s="19" t="n">
        <f aca="true">IF(ISNUMBER(P24),P24-TODAY(),IF(P24="","",P24))</f>
        <v>60</v>
      </c>
      <c r="R24" s="16" t="s">
        <v>77</v>
      </c>
      <c r="S24" s="16"/>
      <c r="T24" s="16" t="s">
        <v>109</v>
      </c>
      <c r="U24" s="20"/>
      <c r="V24" s="18" t="n">
        <f aca="false">IF(M24="","",M24*(1+IF(U24="",Trip!$B$11,U24)))</f>
        <v>327.036585365854</v>
      </c>
      <c r="W24" s="18" t="n">
        <f aca="false">IF(V24="","",V24*I24)</f>
        <v>327.036585365854</v>
      </c>
      <c r="X24" s="21" t="str">
        <f aca="false">IF(OR(M24="",R24="Unavailable"),"",IF(M24=_xlfn.MINIFS($M$5:$M$604,$E$5:$E$604,E24,$G$5:$G$604,G24,$H$5:$H$604,H24,$R$5:$R$604,"&lt;&gt;Unavailable"),"⭐ Cheapest",""))</f>
        <v>⭐ Cheapest</v>
      </c>
      <c r="Y24" s="18" t="str">
        <f aca="false">IF(COUNTIFS($E$5:$E$604,E24,$G$5:$G$604,G24,$J$5:$J$604,"Booking.com")=0,"",_xlfn.MINIFS($M$5:$M$604,$E$5:$E$604,E24,$G$5:$G$604,G24,$J$5:$J$604,"Booking.com"))</f>
        <v/>
      </c>
      <c r="Z24" s="18" t="str">
        <f aca="false">IF(OR(Y24="",M24="",J24="Booking.com"),"",Y24-M24)</f>
        <v/>
      </c>
      <c r="AA24" s="16"/>
      <c r="AB24" s="16"/>
      <c r="AC24" s="16"/>
      <c r="AD24" s="5"/>
    </row>
    <row r="25" customFormat="false" ht="15" hidden="false" customHeight="false" outlineLevel="0" collapsed="false">
      <c r="A25" s="15" t="n">
        <v>21</v>
      </c>
      <c r="B25" s="16" t="s">
        <v>95</v>
      </c>
      <c r="C25" s="17" t="n">
        <v>46376</v>
      </c>
      <c r="D25" s="16" t="n">
        <v>2</v>
      </c>
      <c r="E25" s="5" t="s">
        <v>107</v>
      </c>
      <c r="F25" s="16"/>
      <c r="G25" s="5" t="s">
        <v>110</v>
      </c>
      <c r="H25" s="16" t="s">
        <v>104</v>
      </c>
      <c r="I25" s="16" t="n">
        <v>1</v>
      </c>
      <c r="J25" s="16" t="s">
        <v>111</v>
      </c>
      <c r="K25" s="16" t="s">
        <v>10</v>
      </c>
      <c r="L25" s="10" t="n">
        <v>49108</v>
      </c>
      <c r="M25" s="18" t="n">
        <f aca="false">IF(L25="","",IFERROR(L25*INDEX(Trip!$E$5:$E$14,MATCH(K25,Trip!$D$5:$D$14,0))/INDEX(Trip!$E$5:$E$14,MATCH(Trip!$B$10,Trip!$D$5:$D$14,0)),""))</f>
        <v>520.763520678685</v>
      </c>
      <c r="N25" s="18" t="n">
        <f aca="false">IF(OR(M25="",D25=""),"",M25/D25)</f>
        <v>260.381760339343</v>
      </c>
      <c r="O25" s="18" t="n">
        <f aca="false">IF(M25="","",M25*I25)</f>
        <v>520.763520678685</v>
      </c>
      <c r="P25" s="17" t="n">
        <v>46372</v>
      </c>
      <c r="Q25" s="19" t="n">
        <f aca="true">IF(ISNUMBER(P25),P25-TODAY(),IF(P25="","",P25))</f>
        <v>70</v>
      </c>
      <c r="R25" s="16" t="s">
        <v>77</v>
      </c>
      <c r="S25" s="16"/>
      <c r="T25" s="16"/>
      <c r="U25" s="20"/>
      <c r="V25" s="18" t="n">
        <f aca="false">IF(M25="","",M25*(1+IF(U25="",Trip!$B$11,U25)))</f>
        <v>598.878048780488</v>
      </c>
      <c r="W25" s="18" t="n">
        <f aca="false">IF(V25="","",V25*I25)</f>
        <v>598.878048780488</v>
      </c>
      <c r="X25" s="21" t="str">
        <f aca="false">IF(OR(M25="",R25="Unavailable"),"",IF(M25=_xlfn.MINIFS($M$5:$M$604,$E$5:$E$604,E25,$G$5:$G$604,G25,$H$5:$H$604,H25,$R$5:$R$604,"&lt;&gt;Unavailable"),"⭐ Cheapest",""))</f>
        <v>⭐ Cheapest</v>
      </c>
      <c r="Y25" s="18" t="str">
        <f aca="false">IF(COUNTIFS($E$5:$E$604,E25,$G$5:$G$604,G25,$J$5:$J$604,"Booking.com")=0,"",_xlfn.MINIFS($M$5:$M$604,$E$5:$E$604,E25,$G$5:$G$604,G25,$J$5:$J$604,"Booking.com"))</f>
        <v/>
      </c>
      <c r="Z25" s="18" t="str">
        <f aca="false">IF(OR(Y25="",M25="",J25="Booking.com"),"",Y25-M25)</f>
        <v/>
      </c>
      <c r="AA25" s="16"/>
      <c r="AB25" s="16"/>
      <c r="AC25" s="16"/>
      <c r="AD25" s="5"/>
    </row>
    <row r="26" customFormat="false" ht="15" hidden="false" customHeight="false" outlineLevel="0" collapsed="false">
      <c r="A26" s="15" t="n">
        <v>22</v>
      </c>
      <c r="B26" s="16" t="s">
        <v>112</v>
      </c>
      <c r="C26" s="17" t="n">
        <v>46378</v>
      </c>
      <c r="D26" s="16" t="n">
        <v>1</v>
      </c>
      <c r="E26" s="5" t="s">
        <v>113</v>
      </c>
      <c r="F26" s="16"/>
      <c r="G26" s="5" t="s">
        <v>114</v>
      </c>
      <c r="H26" s="16" t="s">
        <v>75</v>
      </c>
      <c r="I26" s="16" t="n">
        <v>1</v>
      </c>
      <c r="J26" s="16" t="s">
        <v>76</v>
      </c>
      <c r="K26" s="16" t="s">
        <v>10</v>
      </c>
      <c r="L26" s="10" t="n">
        <v>23563</v>
      </c>
      <c r="M26" s="18" t="n">
        <f aca="false">IF(L26="","",IFERROR(L26*INDEX(Trip!$E$5:$E$14,MATCH(K26,Trip!$D$5:$D$14,0))/INDEX(Trip!$E$5:$E$14,MATCH(Trip!$B$10,Trip!$D$5:$D$14,0)),""))</f>
        <v>249.872746553553</v>
      </c>
      <c r="N26" s="18" t="n">
        <f aca="false">IF(OR(M26="",D26=""),"",M26/D26)</f>
        <v>249.872746553553</v>
      </c>
      <c r="O26" s="18" t="n">
        <f aca="false">IF(M26="","",M26*I26)</f>
        <v>249.872746553553</v>
      </c>
      <c r="P26" s="17" t="n">
        <v>46367</v>
      </c>
      <c r="Q26" s="19" t="n">
        <f aca="true">IF(ISNUMBER(P26),P26-TODAY(),IF(P26="","",P26))</f>
        <v>65</v>
      </c>
      <c r="R26" s="16" t="s">
        <v>77</v>
      </c>
      <c r="S26" s="16"/>
      <c r="T26" s="16" t="s">
        <v>83</v>
      </c>
      <c r="U26" s="20"/>
      <c r="V26" s="18" t="n">
        <f aca="false">IF(M26="","",M26*(1+IF(U26="",Trip!$B$11,U26)))</f>
        <v>287.353658536585</v>
      </c>
      <c r="W26" s="18" t="n">
        <f aca="false">IF(V26="","",V26*I26)</f>
        <v>287.353658536585</v>
      </c>
      <c r="X26" s="21" t="str">
        <f aca="false">IF(OR(M26="",R26="Unavailable"),"",IF(M26=_xlfn.MINIFS($M$5:$M$604,$E$5:$E$604,E26,$G$5:$G$604,G26,$H$5:$H$604,H26,$R$5:$R$604,"&lt;&gt;Unavailable"),"⭐ Cheapest",""))</f>
        <v>⭐ Cheapest</v>
      </c>
      <c r="Y26" s="18" t="n">
        <f aca="false">IF(COUNTIFS($E$5:$E$604,E26,$G$5:$G$604,G26,$J$5:$J$604,"Booking.com")=0,"",_xlfn.MINIFS($M$5:$M$604,$E$5:$E$604,E26,$G$5:$G$604,G26,$J$5:$J$604,"Booking.com"))</f>
        <v>325</v>
      </c>
      <c r="Z26" s="18" t="n">
        <f aca="false">IF(OR(Y26="",M26="",J26="Booking.com"),"",Y26-M26)</f>
        <v>75.1272534464475</v>
      </c>
      <c r="AA26" s="16"/>
      <c r="AB26" s="16"/>
      <c r="AC26" s="16"/>
      <c r="AD26" s="5"/>
    </row>
    <row r="27" customFormat="false" ht="15" hidden="false" customHeight="false" outlineLevel="0" collapsed="false">
      <c r="A27" s="15" t="n">
        <v>23</v>
      </c>
      <c r="B27" s="16" t="s">
        <v>112</v>
      </c>
      <c r="C27" s="17" t="n">
        <v>46378</v>
      </c>
      <c r="D27" s="16" t="n">
        <v>1</v>
      </c>
      <c r="E27" s="5" t="s">
        <v>113</v>
      </c>
      <c r="F27" s="16"/>
      <c r="G27" s="5" t="s">
        <v>114</v>
      </c>
      <c r="H27" s="16" t="s">
        <v>75</v>
      </c>
      <c r="I27" s="16" t="n">
        <v>1</v>
      </c>
      <c r="J27" s="16" t="s">
        <v>78</v>
      </c>
      <c r="K27" s="16" t="s">
        <v>13</v>
      </c>
      <c r="L27" s="10" t="n">
        <v>325</v>
      </c>
      <c r="M27" s="18" t="n">
        <f aca="false">IF(L27="","",IFERROR(L27*INDEX(Trip!$E$5:$E$14,MATCH(K27,Trip!$D$5:$D$14,0))/INDEX(Trip!$E$5:$E$14,MATCH(Trip!$B$10,Trip!$D$5:$D$14,0)),""))</f>
        <v>325</v>
      </c>
      <c r="N27" s="18" t="n">
        <f aca="false">IF(OR(M27="",D27=""),"",M27/D27)</f>
        <v>325</v>
      </c>
      <c r="O27" s="18" t="n">
        <f aca="false">IF(M27="","",M27*I27)</f>
        <v>325</v>
      </c>
      <c r="P27" s="17" t="n">
        <v>46370</v>
      </c>
      <c r="Q27" s="19" t="n">
        <f aca="true">IF(ISNUMBER(P27),P27-TODAY(),IF(P27="","",P27))</f>
        <v>68</v>
      </c>
      <c r="R27" s="16" t="s">
        <v>77</v>
      </c>
      <c r="S27" s="16"/>
      <c r="T27" s="16"/>
      <c r="U27" s="20"/>
      <c r="V27" s="18" t="n">
        <f aca="false">IF(M27="","",M27*(1+IF(U27="",Trip!$B$11,U27)))</f>
        <v>373.75</v>
      </c>
      <c r="W27" s="18" t="n">
        <f aca="false">IF(V27="","",V27*I27)</f>
        <v>373.75</v>
      </c>
      <c r="X27" s="21" t="str">
        <f aca="false">IF(OR(M27="",R27="Unavailable"),"",IF(M27=_xlfn.MINIFS($M$5:$M$604,$E$5:$E$604,E27,$G$5:$G$604,G27,$H$5:$H$604,H27,$R$5:$R$604,"&lt;&gt;Unavailable"),"⭐ Cheapest",""))</f>
        <v/>
      </c>
      <c r="Y27" s="18" t="n">
        <f aca="false">IF(COUNTIFS($E$5:$E$604,E27,$G$5:$G$604,G27,$J$5:$J$604,"Booking.com")=0,"",_xlfn.MINIFS($M$5:$M$604,$E$5:$E$604,E27,$G$5:$G$604,G27,$J$5:$J$604,"Booking.com"))</f>
        <v>325</v>
      </c>
      <c r="Z27" s="18" t="str">
        <f aca="false">IF(OR(Y27="",M27="",J27="Booking.com"),"",Y27-M27)</f>
        <v/>
      </c>
      <c r="AA27" s="16"/>
      <c r="AB27" s="16"/>
      <c r="AC27" s="16"/>
      <c r="AD27" s="5"/>
    </row>
    <row r="28" customFormat="false" ht="15" hidden="false" customHeight="false" outlineLevel="0" collapsed="false">
      <c r="A28" s="15" t="n">
        <v>24</v>
      </c>
      <c r="B28" s="16" t="s">
        <v>112</v>
      </c>
      <c r="C28" s="17" t="n">
        <v>46378</v>
      </c>
      <c r="D28" s="16" t="n">
        <v>1</v>
      </c>
      <c r="E28" s="5" t="s">
        <v>115</v>
      </c>
      <c r="F28" s="16" t="n">
        <v>5</v>
      </c>
      <c r="G28" s="5" t="s">
        <v>116</v>
      </c>
      <c r="H28" s="16" t="s">
        <v>117</v>
      </c>
      <c r="I28" s="16" t="n">
        <v>1</v>
      </c>
      <c r="J28" s="16" t="s">
        <v>76</v>
      </c>
      <c r="K28" s="16" t="s">
        <v>10</v>
      </c>
      <c r="L28" s="10" t="n">
        <v>105906</v>
      </c>
      <c r="M28" s="18" t="n">
        <f aca="false">IF(L28="","",IFERROR(L28*INDEX(Trip!$E$5:$E$14,MATCH(K28,Trip!$D$5:$D$14,0))/INDEX(Trip!$E$5:$E$14,MATCH(Trip!$B$10,Trip!$D$5:$D$14,0)),""))</f>
        <v>1123.07529162248</v>
      </c>
      <c r="N28" s="18" t="n">
        <f aca="false">IF(OR(M28="",D28=""),"",M28/D28)</f>
        <v>1123.07529162248</v>
      </c>
      <c r="O28" s="18" t="n">
        <f aca="false">IF(M28="","",M28*I28)</f>
        <v>1123.07529162248</v>
      </c>
      <c r="P28" s="17" t="n">
        <v>46345</v>
      </c>
      <c r="Q28" s="19" t="n">
        <f aca="true">IF(ISNUMBER(P28),P28-TODAY(),IF(P28="","",P28))</f>
        <v>43</v>
      </c>
      <c r="R28" s="16" t="s">
        <v>77</v>
      </c>
      <c r="S28" s="16"/>
      <c r="T28" s="16" t="s">
        <v>109</v>
      </c>
      <c r="U28" s="20"/>
      <c r="V28" s="18" t="n">
        <f aca="false">IF(M28="","",M28*(1+IF(U28="",Trip!$B$11,U28)))</f>
        <v>1291.53658536585</v>
      </c>
      <c r="W28" s="18" t="n">
        <f aca="false">IF(V28="","",V28*I28)</f>
        <v>1291.53658536585</v>
      </c>
      <c r="X28" s="21" t="str">
        <f aca="false">IF(OR(M28="",R28="Unavailable"),"",IF(M28=_xlfn.MINIFS($M$5:$M$604,$E$5:$E$604,E28,$G$5:$G$604,G28,$H$5:$H$604,H28,$R$5:$R$604,"&lt;&gt;Unavailable"),"⭐ Cheapest",""))</f>
        <v>⭐ Cheapest</v>
      </c>
      <c r="Y28" s="18" t="str">
        <f aca="false">IF(COUNTIFS($E$5:$E$604,E28,$G$5:$G$604,G28,$J$5:$J$604,"Booking.com")=0,"",_xlfn.MINIFS($M$5:$M$604,$E$5:$E$604,E28,$G$5:$G$604,G28,$J$5:$J$604,"Booking.com"))</f>
        <v/>
      </c>
      <c r="Z28" s="18" t="str">
        <f aca="false">IF(OR(Y28="",M28="",J28="Booking.com"),"",Y28-M28)</f>
        <v/>
      </c>
      <c r="AA28" s="16"/>
      <c r="AB28" s="16"/>
      <c r="AC28" s="16"/>
      <c r="AD28" s="5"/>
    </row>
    <row r="29" customFormat="false" ht="15" hidden="false" customHeight="false" outlineLevel="0" collapsed="false">
      <c r="A29" s="15" t="n">
        <v>25</v>
      </c>
      <c r="B29" s="16" t="s">
        <v>112</v>
      </c>
      <c r="C29" s="17" t="n">
        <v>46378</v>
      </c>
      <c r="D29" s="16" t="n">
        <v>1</v>
      </c>
      <c r="E29" s="5" t="s">
        <v>115</v>
      </c>
      <c r="F29" s="16" t="n">
        <v>5</v>
      </c>
      <c r="G29" s="5" t="s">
        <v>118</v>
      </c>
      <c r="H29" s="16" t="s">
        <v>117</v>
      </c>
      <c r="I29" s="16" t="n">
        <v>1</v>
      </c>
      <c r="J29" s="16" t="s">
        <v>76</v>
      </c>
      <c r="K29" s="16" t="s">
        <v>10</v>
      </c>
      <c r="L29" s="10" t="n">
        <v>80156</v>
      </c>
      <c r="M29" s="18" t="n">
        <f aca="false">IF(L29="","",IFERROR(L29*INDEX(Trip!$E$5:$E$14,MATCH(K29,Trip!$D$5:$D$14,0))/INDEX(Trip!$E$5:$E$14,MATCH(Trip!$B$10,Trip!$D$5:$D$14,0)),""))</f>
        <v>850.010604453871</v>
      </c>
      <c r="N29" s="18" t="n">
        <f aca="false">IF(OR(M29="",D29=""),"",M29/D29)</f>
        <v>850.010604453871</v>
      </c>
      <c r="O29" s="18" t="n">
        <f aca="false">IF(M29="","",M29*I29)</f>
        <v>850.010604453871</v>
      </c>
      <c r="P29" s="17" t="n">
        <v>46345</v>
      </c>
      <c r="Q29" s="19" t="n">
        <f aca="true">IF(ISNUMBER(P29),P29-TODAY(),IF(P29="","",P29))</f>
        <v>43</v>
      </c>
      <c r="R29" s="16" t="s">
        <v>77</v>
      </c>
      <c r="S29" s="16"/>
      <c r="T29" s="16" t="s">
        <v>109</v>
      </c>
      <c r="U29" s="20"/>
      <c r="V29" s="18" t="n">
        <f aca="false">IF(M29="","",M29*(1+IF(U29="",Trip!$B$11,U29)))</f>
        <v>977.512195121951</v>
      </c>
      <c r="W29" s="18" t="n">
        <f aca="false">IF(V29="","",V29*I29)</f>
        <v>977.512195121951</v>
      </c>
      <c r="X29" s="21" t="str">
        <f aca="false">IF(OR(M29="",R29="Unavailable"),"",IF(M29=_xlfn.MINIFS($M$5:$M$604,$E$5:$E$604,E29,$G$5:$G$604,G29,$H$5:$H$604,H29,$R$5:$R$604,"&lt;&gt;Unavailable"),"⭐ Cheapest",""))</f>
        <v>⭐ Cheapest</v>
      </c>
      <c r="Y29" s="18" t="str">
        <f aca="false">IF(COUNTIFS($E$5:$E$604,E29,$G$5:$G$604,G29,$J$5:$J$604,"Booking.com")=0,"",_xlfn.MINIFS($M$5:$M$604,$E$5:$E$604,E29,$G$5:$G$604,G29,$J$5:$J$604,"Booking.com"))</f>
        <v/>
      </c>
      <c r="Z29" s="18" t="str">
        <f aca="false">IF(OR(Y29="",M29="",J29="Booking.com"),"",Y29-M29)</f>
        <v/>
      </c>
      <c r="AA29" s="16"/>
      <c r="AB29" s="16"/>
      <c r="AC29" s="16"/>
      <c r="AD29" s="5"/>
    </row>
    <row r="30" customFormat="false" ht="23.85" hidden="false" customHeight="false" outlineLevel="0" collapsed="false">
      <c r="A30" s="15" t="n">
        <v>26</v>
      </c>
      <c r="B30" s="16" t="s">
        <v>112</v>
      </c>
      <c r="C30" s="17" t="n">
        <v>46378</v>
      </c>
      <c r="D30" s="16" t="n">
        <v>1</v>
      </c>
      <c r="E30" s="5" t="s">
        <v>119</v>
      </c>
      <c r="F30" s="16" t="n">
        <v>5</v>
      </c>
      <c r="G30" s="5" t="s">
        <v>120</v>
      </c>
      <c r="H30" s="16" t="s">
        <v>117</v>
      </c>
      <c r="I30" s="16" t="n">
        <v>1</v>
      </c>
      <c r="J30" s="16" t="s">
        <v>76</v>
      </c>
      <c r="K30" s="16" t="s">
        <v>10</v>
      </c>
      <c r="L30" s="10" t="n">
        <v>171688</v>
      </c>
      <c r="M30" s="18" t="n">
        <f aca="false">IF(L30="","",IFERROR(L30*INDEX(Trip!$E$5:$E$14,MATCH(K30,Trip!$D$5:$D$14,0))/INDEX(Trip!$E$5:$E$14,MATCH(Trip!$B$10,Trip!$D$5:$D$14,0)),""))</f>
        <v>1820.65747613998</v>
      </c>
      <c r="N30" s="18" t="n">
        <f aca="false">IF(OR(M30="",D30=""),"",M30/D30)</f>
        <v>1820.65747613998</v>
      </c>
      <c r="O30" s="18" t="n">
        <f aca="false">IF(M30="","",M30*I30)</f>
        <v>1820.65747613998</v>
      </c>
      <c r="P30" s="17" t="n">
        <v>46346</v>
      </c>
      <c r="Q30" s="19" t="n">
        <f aca="true">IF(ISNUMBER(P30),P30-TODAY(),IF(P30="","",P30))</f>
        <v>44</v>
      </c>
      <c r="R30" s="16" t="s">
        <v>77</v>
      </c>
      <c r="S30" s="16"/>
      <c r="T30" s="16" t="s">
        <v>121</v>
      </c>
      <c r="U30" s="20"/>
      <c r="V30" s="18" t="n">
        <f aca="false">IF(M30="","",M30*(1+IF(U30="",Trip!$B$11,U30)))</f>
        <v>2093.75609756098</v>
      </c>
      <c r="W30" s="18" t="n">
        <f aca="false">IF(V30="","",V30*I30)</f>
        <v>2093.75609756098</v>
      </c>
      <c r="X30" s="21" t="str">
        <f aca="false">IF(OR(M30="",R30="Unavailable"),"",IF(M30=_xlfn.MINIFS($M$5:$M$604,$E$5:$E$604,E30,$G$5:$G$604,G30,$H$5:$H$604,H30,$R$5:$R$604,"&lt;&gt;Unavailable"),"⭐ Cheapest",""))</f>
        <v>⭐ Cheapest</v>
      </c>
      <c r="Y30" s="18" t="n">
        <f aca="false">IF(COUNTIFS($E$5:$E$604,E30,$G$5:$G$604,G30,$J$5:$J$604,"Booking.com")=0,"",_xlfn.MINIFS($M$5:$M$604,$E$5:$E$604,E30,$G$5:$G$604,G30,$J$5:$J$604,"Booking.com"))</f>
        <v>1307.07317073171</v>
      </c>
      <c r="Z30" s="18" t="n">
        <f aca="false">IF(OR(Y30="",M30="",J30="Booking.com"),"",Y30-M30)</f>
        <v>-513.584305408272</v>
      </c>
      <c r="AA30" s="16"/>
      <c r="AB30" s="16"/>
      <c r="AC30" s="16"/>
      <c r="AD30" s="5"/>
    </row>
    <row r="31" customFormat="false" ht="23.85" hidden="false" customHeight="false" outlineLevel="0" collapsed="false">
      <c r="A31" s="15" t="n">
        <v>27</v>
      </c>
      <c r="B31" s="16" t="s">
        <v>112</v>
      </c>
      <c r="C31" s="17" t="n">
        <v>46378</v>
      </c>
      <c r="D31" s="16" t="n">
        <v>1</v>
      </c>
      <c r="E31" s="5" t="s">
        <v>119</v>
      </c>
      <c r="F31" s="16" t="n">
        <v>5</v>
      </c>
      <c r="G31" s="5" t="s">
        <v>120</v>
      </c>
      <c r="H31" s="16" t="s">
        <v>75</v>
      </c>
      <c r="I31" s="16" t="n">
        <v>1</v>
      </c>
      <c r="J31" s="16" t="s">
        <v>78</v>
      </c>
      <c r="K31" s="16" t="s">
        <v>10</v>
      </c>
      <c r="L31" s="10" t="n">
        <v>123257</v>
      </c>
      <c r="M31" s="18" t="n">
        <f aca="false">IF(L31="","",IFERROR(L31*INDEX(Trip!$E$5:$E$14,MATCH(K31,Trip!$D$5:$D$14,0))/INDEX(Trip!$E$5:$E$14,MATCH(Trip!$B$10,Trip!$D$5:$D$14,0)),""))</f>
        <v>1307.07317073171</v>
      </c>
      <c r="N31" s="18" t="n">
        <f aca="false">IF(OR(M31="",D31=""),"",M31/D31)</f>
        <v>1307.07317073171</v>
      </c>
      <c r="O31" s="18" t="n">
        <f aca="false">IF(M31="","",M31*I31)</f>
        <v>1307.07317073171</v>
      </c>
      <c r="P31" s="17" t="n">
        <v>46347</v>
      </c>
      <c r="Q31" s="19" t="n">
        <f aca="true">IF(ISNUMBER(P31),P31-TODAY(),IF(P31="","",P31))</f>
        <v>45</v>
      </c>
      <c r="R31" s="16" t="s">
        <v>77</v>
      </c>
      <c r="S31" s="16"/>
      <c r="T31" s="16"/>
      <c r="U31" s="20"/>
      <c r="V31" s="18" t="n">
        <f aca="false">IF(M31="","",M31*(1+IF(U31="",Trip!$B$11,U31)))</f>
        <v>1503.13414634146</v>
      </c>
      <c r="W31" s="18" t="n">
        <f aca="false">IF(V31="","",V31*I31)</f>
        <v>1503.13414634146</v>
      </c>
      <c r="X31" s="21" t="str">
        <f aca="false">IF(OR(M31="",R31="Unavailable"),"",IF(M31=_xlfn.MINIFS($M$5:$M$604,$E$5:$E$604,E31,$G$5:$G$604,G31,$H$5:$H$604,H31,$R$5:$R$604,"&lt;&gt;Unavailable"),"⭐ Cheapest",""))</f>
        <v>⭐ Cheapest</v>
      </c>
      <c r="Y31" s="18" t="n">
        <f aca="false">IF(COUNTIFS($E$5:$E$604,E31,$G$5:$G$604,G31,$J$5:$J$604,"Booking.com")=0,"",_xlfn.MINIFS($M$5:$M$604,$E$5:$E$604,E31,$G$5:$G$604,G31,$J$5:$J$604,"Booking.com"))</f>
        <v>1307.07317073171</v>
      </c>
      <c r="Z31" s="18" t="str">
        <f aca="false">IF(OR(Y31="",M31="",J31="Booking.com"),"",Y31-M31)</f>
        <v/>
      </c>
      <c r="AA31" s="16"/>
      <c r="AB31" s="16"/>
      <c r="AC31" s="16"/>
      <c r="AD31" s="5"/>
    </row>
    <row r="32" customFormat="false" ht="15" hidden="false" customHeight="false" outlineLevel="0" collapsed="false">
      <c r="A32" s="15" t="n">
        <v>28</v>
      </c>
      <c r="B32" s="16" t="s">
        <v>112</v>
      </c>
      <c r="C32" s="17" t="n">
        <v>46378</v>
      </c>
      <c r="D32" s="16" t="n">
        <v>1</v>
      </c>
      <c r="E32" s="5" t="s">
        <v>122</v>
      </c>
      <c r="F32" s="16"/>
      <c r="G32" s="5" t="s">
        <v>123</v>
      </c>
      <c r="H32" s="16" t="s">
        <v>75</v>
      </c>
      <c r="I32" s="16" t="n">
        <v>1</v>
      </c>
      <c r="J32" s="16" t="s">
        <v>76</v>
      </c>
      <c r="K32" s="16" t="s">
        <v>10</v>
      </c>
      <c r="L32" s="10" t="n">
        <v>40298</v>
      </c>
      <c r="M32" s="18" t="n">
        <f aca="false">IF(L32="","",IFERROR(L32*INDEX(Trip!$E$5:$E$14,MATCH(K32,Trip!$D$5:$D$14,0))/INDEX(Trip!$E$5:$E$14,MATCH(Trip!$B$10,Trip!$D$5:$D$14,0)),""))</f>
        <v>427.338282078473</v>
      </c>
      <c r="N32" s="18" t="n">
        <f aca="false">IF(OR(M32="",D32=""),"",M32/D32)</f>
        <v>427.338282078473</v>
      </c>
      <c r="O32" s="18" t="n">
        <f aca="false">IF(M32="","",M32*I32)</f>
        <v>427.338282078473</v>
      </c>
      <c r="P32" s="17" t="n">
        <v>46314</v>
      </c>
      <c r="Q32" s="19" t="n">
        <f aca="true">IF(ISNUMBER(P32),P32-TODAY(),IF(P32="","",P32))</f>
        <v>12</v>
      </c>
      <c r="R32" s="16" t="s">
        <v>77</v>
      </c>
      <c r="S32" s="16"/>
      <c r="T32" s="16"/>
      <c r="U32" s="20"/>
      <c r="V32" s="18" t="n">
        <f aca="false">IF(M32="","",M32*(1+IF(U32="",Trip!$B$11,U32)))</f>
        <v>491.439024390244</v>
      </c>
      <c r="W32" s="18" t="n">
        <f aca="false">IF(V32="","",V32*I32)</f>
        <v>491.439024390244</v>
      </c>
      <c r="X32" s="21" t="str">
        <f aca="false">IF(OR(M32="",R32="Unavailable"),"",IF(M32=_xlfn.MINIFS($M$5:$M$604,$E$5:$E$604,E32,$G$5:$G$604,G32,$H$5:$H$604,H32,$R$5:$R$604,"&lt;&gt;Unavailable"),"⭐ Cheapest",""))</f>
        <v>⭐ Cheapest</v>
      </c>
      <c r="Y32" s="18" t="n">
        <f aca="false">IF(COUNTIFS($E$5:$E$604,E32,$G$5:$G$604,G32,$J$5:$J$604,"Booking.com")=0,"",_xlfn.MINIFS($M$5:$M$604,$E$5:$E$604,E32,$G$5:$G$604,G32,$J$5:$J$604,"Booking.com"))</f>
        <v>368.801696712619</v>
      </c>
      <c r="Z32" s="18" t="n">
        <f aca="false">IF(OR(Y32="",M32="",J32="Booking.com"),"",Y32-M32)</f>
        <v>-58.5365853658536</v>
      </c>
      <c r="AA32" s="16"/>
      <c r="AB32" s="16"/>
      <c r="AC32" s="16"/>
      <c r="AD32" s="5"/>
    </row>
    <row r="33" customFormat="false" ht="15" hidden="false" customHeight="false" outlineLevel="0" collapsed="false">
      <c r="A33" s="15" t="n">
        <v>29</v>
      </c>
      <c r="B33" s="16" t="s">
        <v>112</v>
      </c>
      <c r="C33" s="17" t="n">
        <v>46378</v>
      </c>
      <c r="D33" s="16" t="n">
        <v>1</v>
      </c>
      <c r="E33" s="5" t="s">
        <v>122</v>
      </c>
      <c r="F33" s="16"/>
      <c r="G33" s="5" t="s">
        <v>123</v>
      </c>
      <c r="H33" s="16" t="s">
        <v>104</v>
      </c>
      <c r="I33" s="16" t="n">
        <v>1</v>
      </c>
      <c r="J33" s="16" t="s">
        <v>78</v>
      </c>
      <c r="K33" s="16" t="s">
        <v>10</v>
      </c>
      <c r="L33" s="10" t="n">
        <v>38486</v>
      </c>
      <c r="M33" s="18" t="n">
        <f aca="false">IF(L33="","",IFERROR(L33*INDEX(Trip!$E$5:$E$14,MATCH(K33,Trip!$D$5:$D$14,0))/INDEX(Trip!$E$5:$E$14,MATCH(Trip!$B$10,Trip!$D$5:$D$14,0)),""))</f>
        <v>408.123011664899</v>
      </c>
      <c r="N33" s="18" t="n">
        <f aca="false">IF(OR(M33="",D33=""),"",M33/D33)</f>
        <v>408.123011664899</v>
      </c>
      <c r="O33" s="18" t="n">
        <f aca="false">IF(M33="","",M33*I33)</f>
        <v>408.123011664899</v>
      </c>
      <c r="P33" s="17" t="n">
        <v>46317</v>
      </c>
      <c r="Q33" s="19" t="n">
        <f aca="true">IF(ISNUMBER(P33),P33-TODAY(),IF(P33="","",P33))</f>
        <v>15</v>
      </c>
      <c r="R33" s="16" t="s">
        <v>77</v>
      </c>
      <c r="S33" s="16"/>
      <c r="T33" s="16"/>
      <c r="U33" s="20"/>
      <c r="V33" s="18" t="n">
        <f aca="false">IF(M33="","",M33*(1+IF(U33="",Trip!$B$11,U33)))</f>
        <v>469.341463414634</v>
      </c>
      <c r="W33" s="18" t="n">
        <f aca="false">IF(V33="","",V33*I33)</f>
        <v>469.341463414634</v>
      </c>
      <c r="X33" s="21" t="str">
        <f aca="false">IF(OR(M33="",R33="Unavailable"),"",IF(M33=_xlfn.MINIFS($M$5:$M$604,$E$5:$E$604,E33,$G$5:$G$604,G33,$H$5:$H$604,H33,$R$5:$R$604,"&lt;&gt;Unavailable"),"⭐ Cheapest",""))</f>
        <v/>
      </c>
      <c r="Y33" s="18" t="n">
        <f aca="false">IF(COUNTIFS($E$5:$E$604,E33,$G$5:$G$604,G33,$J$5:$J$604,"Booking.com")=0,"",_xlfn.MINIFS($M$5:$M$604,$E$5:$E$604,E33,$G$5:$G$604,G33,$J$5:$J$604,"Booking.com"))</f>
        <v>368.801696712619</v>
      </c>
      <c r="Z33" s="18" t="str">
        <f aca="false">IF(OR(Y33="",M33="",J33="Booking.com"),"",Y33-M33)</f>
        <v/>
      </c>
      <c r="AA33" s="16"/>
      <c r="AB33" s="16"/>
      <c r="AC33" s="16"/>
      <c r="AD33" s="5"/>
    </row>
    <row r="34" customFormat="false" ht="15" hidden="false" customHeight="false" outlineLevel="0" collapsed="false">
      <c r="A34" s="15" t="n">
        <v>30</v>
      </c>
      <c r="B34" s="16" t="s">
        <v>112</v>
      </c>
      <c r="C34" s="17" t="n">
        <v>46378</v>
      </c>
      <c r="D34" s="16" t="n">
        <v>1</v>
      </c>
      <c r="E34" s="5" t="s">
        <v>122</v>
      </c>
      <c r="F34" s="16"/>
      <c r="G34" s="5" t="s">
        <v>123</v>
      </c>
      <c r="H34" s="16" t="s">
        <v>104</v>
      </c>
      <c r="I34" s="16" t="n">
        <v>1</v>
      </c>
      <c r="J34" s="16" t="s">
        <v>76</v>
      </c>
      <c r="K34" s="16" t="s">
        <v>10</v>
      </c>
      <c r="L34" s="10" t="n">
        <v>33071</v>
      </c>
      <c r="M34" s="18" t="n">
        <f aca="false">IF(L34="","",IFERROR(L34*INDEX(Trip!$E$5:$E$14,MATCH(K34,Trip!$D$5:$D$14,0))/INDEX(Trip!$E$5:$E$14,MATCH(Trip!$B$10,Trip!$D$5:$D$14,0)),""))</f>
        <v>350.699893955461</v>
      </c>
      <c r="N34" s="18" t="n">
        <f aca="false">IF(OR(M34="",D34=""),"",M34/D34)</f>
        <v>350.699893955461</v>
      </c>
      <c r="O34" s="18" t="n">
        <f aca="false">IF(M34="","",M34*I34)</f>
        <v>350.699893955461</v>
      </c>
      <c r="P34" s="17" t="n">
        <v>46314</v>
      </c>
      <c r="Q34" s="19" t="n">
        <f aca="true">IF(ISNUMBER(P34),P34-TODAY(),IF(P34="","",P34))</f>
        <v>12</v>
      </c>
      <c r="R34" s="16" t="s">
        <v>90</v>
      </c>
      <c r="S34" s="16" t="s">
        <v>124</v>
      </c>
      <c r="T34" s="16"/>
      <c r="U34" s="20" t="n">
        <v>0.1149</v>
      </c>
      <c r="V34" s="18" t="n">
        <f aca="false">IF(M34="","",M34*(1+IF(U34="",Trip!$B$11,U34)))</f>
        <v>390.995311770944</v>
      </c>
      <c r="W34" s="18" t="n">
        <f aca="false">IF(V34="","",V34*I34)</f>
        <v>390.995311770944</v>
      </c>
      <c r="X34" s="21" t="str">
        <f aca="false">IF(OR(M34="",R34="Unavailable"),"",IF(M34=_xlfn.MINIFS($M$5:$M$604,$E$5:$E$604,E34,$G$5:$G$604,G34,$H$5:$H$604,H34,$R$5:$R$604,"&lt;&gt;Unavailable"),"⭐ Cheapest",""))</f>
        <v>⭐ Cheapest</v>
      </c>
      <c r="Y34" s="18" t="n">
        <f aca="false">IF(COUNTIFS($E$5:$E$604,E34,$G$5:$G$604,G34,$J$5:$J$604,"Booking.com")=0,"",_xlfn.MINIFS($M$5:$M$604,$E$5:$E$604,E34,$G$5:$G$604,G34,$J$5:$J$604,"Booking.com"))</f>
        <v>368.801696712619</v>
      </c>
      <c r="Z34" s="18" t="n">
        <f aca="false">IF(OR(Y34="",M34="",J34="Booking.com"),"",Y34-M34)</f>
        <v>18.1018027571581</v>
      </c>
      <c r="AA34" s="16"/>
      <c r="AB34" s="16"/>
      <c r="AC34" s="16"/>
      <c r="AD34" s="5" t="s">
        <v>125</v>
      </c>
    </row>
    <row r="35" customFormat="false" ht="15" hidden="false" customHeight="false" outlineLevel="0" collapsed="false">
      <c r="A35" s="15" t="n">
        <v>31</v>
      </c>
      <c r="B35" s="16" t="s">
        <v>112</v>
      </c>
      <c r="C35" s="17" t="n">
        <v>46378</v>
      </c>
      <c r="D35" s="16" t="n">
        <v>1</v>
      </c>
      <c r="E35" s="5" t="s">
        <v>122</v>
      </c>
      <c r="F35" s="16"/>
      <c r="G35" s="5" t="s">
        <v>123</v>
      </c>
      <c r="H35" s="16" t="s">
        <v>104</v>
      </c>
      <c r="I35" s="16" t="n">
        <v>1</v>
      </c>
      <c r="J35" s="16" t="s">
        <v>78</v>
      </c>
      <c r="K35" s="16" t="s">
        <v>10</v>
      </c>
      <c r="L35" s="10" t="n">
        <v>34778</v>
      </c>
      <c r="M35" s="18" t="n">
        <f aca="false">IF(L35="","",IFERROR(L35*INDEX(Trip!$E$5:$E$14,MATCH(K35,Trip!$D$5:$D$14,0))/INDEX(Trip!$E$5:$E$14,MATCH(Trip!$B$10,Trip!$D$5:$D$14,0)),""))</f>
        <v>368.801696712619</v>
      </c>
      <c r="N35" s="18" t="n">
        <f aca="false">IF(OR(M35="",D35=""),"",M35/D35)</f>
        <v>368.801696712619</v>
      </c>
      <c r="O35" s="18" t="n">
        <f aca="false">IF(M35="","",M35*I35)</f>
        <v>368.801696712619</v>
      </c>
      <c r="P35" s="17" t="n">
        <v>46317</v>
      </c>
      <c r="Q35" s="19" t="n">
        <f aca="true">IF(ISNUMBER(P35),P35-TODAY(),IF(P35="","",P35))</f>
        <v>15</v>
      </c>
      <c r="R35" s="16" t="s">
        <v>77</v>
      </c>
      <c r="S35" s="16"/>
      <c r="T35" s="16"/>
      <c r="U35" s="20"/>
      <c r="V35" s="18" t="n">
        <f aca="false">IF(M35="","",M35*(1+IF(U35="",Trip!$B$11,U35)))</f>
        <v>424.121951219512</v>
      </c>
      <c r="W35" s="18" t="n">
        <f aca="false">IF(V35="","",V35*I35)</f>
        <v>424.121951219512</v>
      </c>
      <c r="X35" s="21" t="str">
        <f aca="false">IF(OR(M35="",R35="Unavailable"),"",IF(M35=_xlfn.MINIFS($M$5:$M$604,$E$5:$E$604,E35,$G$5:$G$604,G35,$H$5:$H$604,H35,$R$5:$R$604,"&lt;&gt;Unavailable"),"⭐ Cheapest",""))</f>
        <v/>
      </c>
      <c r="Y35" s="18" t="n">
        <f aca="false">IF(COUNTIFS($E$5:$E$604,E35,$G$5:$G$604,G35,$J$5:$J$604,"Booking.com")=0,"",_xlfn.MINIFS($M$5:$M$604,$E$5:$E$604,E35,$G$5:$G$604,G35,$J$5:$J$604,"Booking.com"))</f>
        <v>368.801696712619</v>
      </c>
      <c r="Z35" s="18" t="str">
        <f aca="false">IF(OR(Y35="",M35="",J35="Booking.com"),"",Y35-M35)</f>
        <v/>
      </c>
      <c r="AA35" s="16"/>
      <c r="AB35" s="16"/>
      <c r="AC35" s="16"/>
      <c r="AD35" s="5"/>
    </row>
    <row r="36" customFormat="false" ht="15" hidden="false" customHeight="false" outlineLevel="0" collapsed="false">
      <c r="A36" s="15" t="n">
        <v>32</v>
      </c>
      <c r="B36" s="16" t="s">
        <v>112</v>
      </c>
      <c r="C36" s="17" t="n">
        <v>46378</v>
      </c>
      <c r="D36" s="16" t="n">
        <v>1</v>
      </c>
      <c r="E36" s="5" t="s">
        <v>122</v>
      </c>
      <c r="F36" s="16"/>
      <c r="G36" s="5" t="s">
        <v>126</v>
      </c>
      <c r="H36" s="16" t="s">
        <v>104</v>
      </c>
      <c r="I36" s="16" t="n">
        <v>1</v>
      </c>
      <c r="J36" s="16" t="s">
        <v>76</v>
      </c>
      <c r="K36" s="16" t="s">
        <v>10</v>
      </c>
      <c r="L36" s="10" t="n">
        <v>34480</v>
      </c>
      <c r="M36" s="18" t="n">
        <f aca="false">IF(L36="","",IFERROR(L36*INDEX(Trip!$E$5:$E$14,MATCH(K36,Trip!$D$5:$D$14,0))/INDEX(Trip!$E$5:$E$14,MATCH(Trip!$B$10,Trip!$D$5:$D$14,0)),""))</f>
        <v>365.641569459173</v>
      </c>
      <c r="N36" s="18" t="n">
        <f aca="false">IF(OR(M36="",D36=""),"",M36/D36)</f>
        <v>365.641569459173</v>
      </c>
      <c r="O36" s="18" t="n">
        <f aca="false">IF(M36="","",M36*I36)</f>
        <v>365.641569459173</v>
      </c>
      <c r="P36" s="17" t="n">
        <v>46314</v>
      </c>
      <c r="Q36" s="19" t="n">
        <f aca="true">IF(ISNUMBER(P36),P36-TODAY(),IF(P36="","",P36))</f>
        <v>12</v>
      </c>
      <c r="R36" s="16" t="s">
        <v>90</v>
      </c>
      <c r="S36" s="16" t="s">
        <v>127</v>
      </c>
      <c r="T36" s="16"/>
      <c r="U36" s="20"/>
      <c r="V36" s="18" t="n">
        <f aca="false">IF(M36="","",M36*(1+IF(U36="",Trip!$B$11,U36)))</f>
        <v>420.487804878049</v>
      </c>
      <c r="W36" s="18" t="n">
        <f aca="false">IF(V36="","",V36*I36)</f>
        <v>420.487804878049</v>
      </c>
      <c r="X36" s="21" t="str">
        <f aca="false">IF(OR(M36="",R36="Unavailable"),"",IF(M36=_xlfn.MINIFS($M$5:$M$604,$E$5:$E$604,E36,$G$5:$G$604,G36,$H$5:$H$604,H36,$R$5:$R$604,"&lt;&gt;Unavailable"),"⭐ Cheapest",""))</f>
        <v>⭐ Cheapest</v>
      </c>
      <c r="Y36" s="18" t="str">
        <f aca="false">IF(COUNTIFS($E$5:$E$604,E36,$G$5:$G$604,G36,$J$5:$J$604,"Booking.com")=0,"",_xlfn.MINIFS($M$5:$M$604,$E$5:$E$604,E36,$G$5:$G$604,G36,$J$5:$J$604,"Booking.com"))</f>
        <v/>
      </c>
      <c r="Z36" s="18" t="str">
        <f aca="false">IF(OR(Y36="",M36="",J36="Booking.com"),"",Y36-M36)</f>
        <v/>
      </c>
      <c r="AA36" s="16"/>
      <c r="AB36" s="16"/>
      <c r="AC36" s="16"/>
      <c r="AD36" s="5" t="s">
        <v>128</v>
      </c>
    </row>
    <row r="37" customFormat="false" ht="15" hidden="false" customHeight="false" outlineLevel="0" collapsed="false">
      <c r="A37" s="15" t="n">
        <v>33</v>
      </c>
      <c r="B37" s="16" t="s">
        <v>112</v>
      </c>
      <c r="C37" s="17" t="n">
        <v>46378</v>
      </c>
      <c r="D37" s="16" t="n">
        <v>1</v>
      </c>
      <c r="E37" s="5" t="s">
        <v>129</v>
      </c>
      <c r="F37" s="16"/>
      <c r="G37" s="5" t="s">
        <v>130</v>
      </c>
      <c r="H37" s="16" t="s">
        <v>104</v>
      </c>
      <c r="I37" s="16" t="n">
        <v>1</v>
      </c>
      <c r="J37" s="16" t="s">
        <v>111</v>
      </c>
      <c r="K37" s="16" t="s">
        <v>13</v>
      </c>
      <c r="L37" s="10" t="n">
        <v>315</v>
      </c>
      <c r="M37" s="18" t="n">
        <f aca="false">IF(L37="","",IFERROR(L37*INDEX(Trip!$E$5:$E$14,MATCH(K37,Trip!$D$5:$D$14,0))/INDEX(Trip!$E$5:$E$14,MATCH(Trip!$B$10,Trip!$D$5:$D$14,0)),""))</f>
        <v>315</v>
      </c>
      <c r="N37" s="18" t="n">
        <f aca="false">IF(OR(M37="",D37=""),"",M37/D37)</f>
        <v>315</v>
      </c>
      <c r="O37" s="18" t="n">
        <f aca="false">IF(M37="","",M37*I37)</f>
        <v>315</v>
      </c>
      <c r="P37" s="17" t="n">
        <v>46287</v>
      </c>
      <c r="Q37" s="19" t="n">
        <f aca="true">IF(ISNUMBER(P37),P37-TODAY(),IF(P37="","",P37))</f>
        <v>-15</v>
      </c>
      <c r="R37" s="16" t="s">
        <v>90</v>
      </c>
      <c r="S37" s="16"/>
      <c r="T37" s="16"/>
      <c r="U37" s="20" t="n">
        <v>0.0921</v>
      </c>
      <c r="V37" s="18" t="n">
        <f aca="false">IF(M37="","",M37*(1+IF(U37="",Trip!$B$11,U37)))</f>
        <v>344.0115</v>
      </c>
      <c r="W37" s="18" t="n">
        <f aca="false">IF(V37="","",V37*I37)</f>
        <v>344.0115</v>
      </c>
      <c r="X37" s="21" t="str">
        <f aca="false">IF(OR(M37="",R37="Unavailable"),"",IF(M37=_xlfn.MINIFS($M$5:$M$604,$E$5:$E$604,E37,$G$5:$G$604,G37,$H$5:$H$604,H37,$R$5:$R$604,"&lt;&gt;Unavailable"),"⭐ Cheapest",""))</f>
        <v>⭐ Cheapest</v>
      </c>
      <c r="Y37" s="18" t="str">
        <f aca="false">IF(COUNTIFS($E$5:$E$604,E37,$G$5:$G$604,G37,$J$5:$J$604,"Booking.com")=0,"",_xlfn.MINIFS($M$5:$M$604,$E$5:$E$604,E37,$G$5:$G$604,G37,$J$5:$J$604,"Booking.com"))</f>
        <v/>
      </c>
      <c r="Z37" s="18" t="str">
        <f aca="false">IF(OR(Y37="",M37="",J37="Booking.com"),"",Y37-M37)</f>
        <v/>
      </c>
      <c r="AA37" s="16" t="s">
        <v>92</v>
      </c>
      <c r="AB37" s="16"/>
      <c r="AC37" s="16" t="s">
        <v>92</v>
      </c>
      <c r="AD37" s="5"/>
    </row>
    <row r="38" customFormat="false" ht="15" hidden="false" customHeight="false" outlineLevel="0" collapsed="false">
      <c r="A38" s="15" t="n">
        <v>34</v>
      </c>
      <c r="B38" s="16" t="s">
        <v>112</v>
      </c>
      <c r="C38" s="17" t="n">
        <v>46378</v>
      </c>
      <c r="D38" s="16" t="n">
        <v>1</v>
      </c>
      <c r="E38" s="5" t="s">
        <v>129</v>
      </c>
      <c r="F38" s="16"/>
      <c r="G38" s="5" t="s">
        <v>131</v>
      </c>
      <c r="H38" s="16" t="s">
        <v>104</v>
      </c>
      <c r="I38" s="16" t="n">
        <v>1</v>
      </c>
      <c r="J38" s="16" t="s">
        <v>111</v>
      </c>
      <c r="K38" s="16" t="s">
        <v>13</v>
      </c>
      <c r="L38" s="10" t="n">
        <v>265</v>
      </c>
      <c r="M38" s="18" t="n">
        <f aca="false">IF(L38="","",IFERROR(L38*INDEX(Trip!$E$5:$E$14,MATCH(K38,Trip!$D$5:$D$14,0))/INDEX(Trip!$E$5:$E$14,MATCH(Trip!$B$10,Trip!$D$5:$D$14,0)),""))</f>
        <v>265</v>
      </c>
      <c r="N38" s="18" t="n">
        <f aca="false">IF(OR(M38="",D38=""),"",M38/D38)</f>
        <v>265</v>
      </c>
      <c r="O38" s="18" t="n">
        <f aca="false">IF(M38="","",M38*I38)</f>
        <v>265</v>
      </c>
      <c r="P38" s="17" t="n">
        <v>46287</v>
      </c>
      <c r="Q38" s="19" t="n">
        <f aca="true">IF(ISNUMBER(P38),P38-TODAY(),IF(P38="","",P38))</f>
        <v>-15</v>
      </c>
      <c r="R38" s="16" t="s">
        <v>90</v>
      </c>
      <c r="S38" s="16"/>
      <c r="T38" s="16"/>
      <c r="U38" s="20" t="n">
        <v>0.1396</v>
      </c>
      <c r="V38" s="18" t="n">
        <f aca="false">IF(M38="","",M38*(1+IF(U38="",Trip!$B$11,U38)))</f>
        <v>301.994</v>
      </c>
      <c r="W38" s="18" t="n">
        <f aca="false">IF(V38="","",V38*I38)</f>
        <v>301.994</v>
      </c>
      <c r="X38" s="21" t="str">
        <f aca="false">IF(OR(M38="",R38="Unavailable"),"",IF(M38=_xlfn.MINIFS($M$5:$M$604,$E$5:$E$604,E38,$G$5:$G$604,G38,$H$5:$H$604,H38,$R$5:$R$604,"&lt;&gt;Unavailable"),"⭐ Cheapest",""))</f>
        <v>⭐ Cheapest</v>
      </c>
      <c r="Y38" s="18" t="str">
        <f aca="false">IF(COUNTIFS($E$5:$E$604,E38,$G$5:$G$604,G38,$J$5:$J$604,"Booking.com")=0,"",_xlfn.MINIFS($M$5:$M$604,$E$5:$E$604,E38,$G$5:$G$604,G38,$J$5:$J$604,"Booking.com"))</f>
        <v/>
      </c>
      <c r="Z38" s="18" t="str">
        <f aca="false">IF(OR(Y38="",M38="",J38="Booking.com"),"",Y38-M38)</f>
        <v/>
      </c>
      <c r="AA38" s="16"/>
      <c r="AB38" s="16" t="s">
        <v>92</v>
      </c>
      <c r="AC38" s="16"/>
      <c r="AD38" s="5"/>
    </row>
    <row r="39" customFormat="false" ht="15" hidden="false" customHeight="false" outlineLevel="0" collapsed="false">
      <c r="A39" s="15" t="n">
        <v>35</v>
      </c>
      <c r="B39" s="16" t="s">
        <v>112</v>
      </c>
      <c r="C39" s="17" t="n">
        <v>46378</v>
      </c>
      <c r="D39" s="16" t="n">
        <v>1</v>
      </c>
      <c r="E39" s="5" t="s">
        <v>129</v>
      </c>
      <c r="F39" s="16"/>
      <c r="G39" s="5" t="s">
        <v>123</v>
      </c>
      <c r="H39" s="16" t="s">
        <v>104</v>
      </c>
      <c r="I39" s="16" t="n">
        <v>1</v>
      </c>
      <c r="J39" s="16" t="s">
        <v>111</v>
      </c>
      <c r="K39" s="16" t="s">
        <v>13</v>
      </c>
      <c r="L39" s="10" t="n">
        <v>409</v>
      </c>
      <c r="M39" s="18" t="n">
        <f aca="false">IF(L39="","",IFERROR(L39*INDEX(Trip!$E$5:$E$14,MATCH(K39,Trip!$D$5:$D$14,0))/INDEX(Trip!$E$5:$E$14,MATCH(Trip!$B$10,Trip!$D$5:$D$14,0)),""))</f>
        <v>409</v>
      </c>
      <c r="N39" s="18" t="n">
        <f aca="false">IF(OR(M39="",D39=""),"",M39/D39)</f>
        <v>409</v>
      </c>
      <c r="O39" s="18" t="n">
        <f aca="false">IF(M39="","",M39*I39)</f>
        <v>409</v>
      </c>
      <c r="P39" s="17" t="s">
        <v>132</v>
      </c>
      <c r="Q39" s="19" t="str">
        <f aca="true">IF(ISNUMBER(P39),P39-TODAY(),IF(P39="","",P39))</f>
        <v>NRF</v>
      </c>
      <c r="R39" s="16" t="s">
        <v>77</v>
      </c>
      <c r="S39" s="16"/>
      <c r="T39" s="16"/>
      <c r="U39" s="20"/>
      <c r="V39" s="18" t="n">
        <f aca="false">IF(M39="","",M39*(1+IF(U39="",Trip!$B$11,U39)))</f>
        <v>470.35</v>
      </c>
      <c r="W39" s="18" t="n">
        <f aca="false">IF(V39="","",V39*I39)</f>
        <v>470.35</v>
      </c>
      <c r="X39" s="21" t="str">
        <f aca="false">IF(OR(M39="",R39="Unavailable"),"",IF(M39=_xlfn.MINIFS($M$5:$M$604,$E$5:$E$604,E39,$G$5:$G$604,G39,$H$5:$H$604,H39,$R$5:$R$604,"&lt;&gt;Unavailable"),"⭐ Cheapest",""))</f>
        <v>⭐ Cheapest</v>
      </c>
      <c r="Y39" s="18" t="str">
        <f aca="false">IF(COUNTIFS($E$5:$E$604,E39,$G$5:$G$604,G39,$J$5:$J$604,"Booking.com")=0,"",_xlfn.MINIFS($M$5:$M$604,$E$5:$E$604,E39,$G$5:$G$604,G39,$J$5:$J$604,"Booking.com"))</f>
        <v/>
      </c>
      <c r="Z39" s="18" t="str">
        <f aca="false">IF(OR(Y39="",M39="",J39="Booking.com"),"",Y39-M39)</f>
        <v/>
      </c>
      <c r="AA39" s="16"/>
      <c r="AB39" s="16"/>
      <c r="AC39" s="16"/>
      <c r="AD39" s="5"/>
    </row>
    <row r="40" customFormat="false" ht="15" hidden="false" customHeight="false" outlineLevel="0" collapsed="false">
      <c r="A40" s="15" t="n">
        <v>36</v>
      </c>
      <c r="B40" s="16" t="s">
        <v>112</v>
      </c>
      <c r="C40" s="17" t="n">
        <v>46378</v>
      </c>
      <c r="D40" s="16" t="n">
        <v>1</v>
      </c>
      <c r="E40" s="5" t="s">
        <v>133</v>
      </c>
      <c r="F40" s="16" t="n">
        <v>5</v>
      </c>
      <c r="G40" s="5" t="s">
        <v>134</v>
      </c>
      <c r="H40" s="16" t="s">
        <v>75</v>
      </c>
      <c r="I40" s="16" t="n">
        <v>1</v>
      </c>
      <c r="J40" s="16" t="s">
        <v>135</v>
      </c>
      <c r="K40" s="16" t="s">
        <v>10</v>
      </c>
      <c r="L40" s="10" t="n">
        <v>30414</v>
      </c>
      <c r="M40" s="18" t="n">
        <f aca="false">IF(L40="","",IFERROR(L40*INDEX(Trip!$E$5:$E$14,MATCH(K40,Trip!$D$5:$D$14,0))/INDEX(Trip!$E$5:$E$14,MATCH(Trip!$B$10,Trip!$D$5:$D$14,0)),""))</f>
        <v>322.523860021209</v>
      </c>
      <c r="N40" s="18" t="n">
        <f aca="false">IF(OR(M40="",D40=""),"",M40/D40)</f>
        <v>322.523860021209</v>
      </c>
      <c r="O40" s="18" t="n">
        <f aca="false">IF(M40="","",M40*I40)</f>
        <v>322.523860021209</v>
      </c>
      <c r="P40" s="17" t="n">
        <v>46345</v>
      </c>
      <c r="Q40" s="19" t="n">
        <f aca="true">IF(ISNUMBER(P40),P40-TODAY(),IF(P40="","",P40))</f>
        <v>43</v>
      </c>
      <c r="R40" s="16" t="s">
        <v>77</v>
      </c>
      <c r="S40" s="16"/>
      <c r="T40" s="16"/>
      <c r="U40" s="20"/>
      <c r="V40" s="18" t="n">
        <f aca="false">IF(M40="","",M40*(1+IF(U40="",Trip!$B$11,U40)))</f>
        <v>370.90243902439</v>
      </c>
      <c r="W40" s="18" t="n">
        <f aca="false">IF(V40="","",V40*I40)</f>
        <v>370.90243902439</v>
      </c>
      <c r="X40" s="21" t="str">
        <f aca="false">IF(OR(M40="",R40="Unavailable"),"",IF(M40=_xlfn.MINIFS($M$5:$M$604,$E$5:$E$604,E40,$G$5:$G$604,G40,$H$5:$H$604,H40,$R$5:$R$604,"&lt;&gt;Unavailable"),"⭐ Cheapest",""))</f>
        <v>⭐ Cheapest</v>
      </c>
      <c r="Y40" s="18" t="n">
        <f aca="false">IF(COUNTIFS($E$5:$E$604,E40,$G$5:$G$604,G40,$J$5:$J$604,"Booking.com")=0,"",_xlfn.MINIFS($M$5:$M$604,$E$5:$E$604,E40,$G$5:$G$604,G40,$J$5:$J$604,"Booking.com"))</f>
        <v>375.885471898197</v>
      </c>
      <c r="Z40" s="18" t="n">
        <f aca="false">IF(OR(Y40="",M40="",J40="Booking.com"),"",Y40-M40)</f>
        <v>53.3616118769883</v>
      </c>
      <c r="AA40" s="16"/>
      <c r="AB40" s="16"/>
      <c r="AC40" s="16"/>
      <c r="AD40" s="5"/>
    </row>
    <row r="41" customFormat="false" ht="15" hidden="false" customHeight="false" outlineLevel="0" collapsed="false">
      <c r="A41" s="15" t="n">
        <v>37</v>
      </c>
      <c r="B41" s="16" t="s">
        <v>112</v>
      </c>
      <c r="C41" s="17" t="n">
        <v>46378</v>
      </c>
      <c r="D41" s="16" t="n">
        <v>1</v>
      </c>
      <c r="E41" s="5" t="s">
        <v>133</v>
      </c>
      <c r="F41" s="16" t="n">
        <v>5</v>
      </c>
      <c r="G41" s="5" t="s">
        <v>134</v>
      </c>
      <c r="H41" s="16" t="s">
        <v>75</v>
      </c>
      <c r="I41" s="16" t="n">
        <v>1</v>
      </c>
      <c r="J41" s="16" t="s">
        <v>78</v>
      </c>
      <c r="K41" s="16" t="s">
        <v>10</v>
      </c>
      <c r="L41" s="10" t="n">
        <v>35446</v>
      </c>
      <c r="M41" s="18" t="n">
        <f aca="false">IF(L41="","",IFERROR(L41*INDEX(Trip!$E$5:$E$14,MATCH(K41,Trip!$D$5:$D$14,0))/INDEX(Trip!$E$5:$E$14,MATCH(Trip!$B$10,Trip!$D$5:$D$14,0)),""))</f>
        <v>375.885471898197</v>
      </c>
      <c r="N41" s="18" t="n">
        <f aca="false">IF(OR(M41="",D41=""),"",M41/D41)</f>
        <v>375.885471898197</v>
      </c>
      <c r="O41" s="18" t="n">
        <f aca="false">IF(M41="","",M41*I41)</f>
        <v>375.885471898197</v>
      </c>
      <c r="P41" s="17" t="n">
        <v>46317</v>
      </c>
      <c r="Q41" s="19" t="n">
        <f aca="true">IF(ISNUMBER(P41),P41-TODAY(),IF(P41="","",P41))</f>
        <v>15</v>
      </c>
      <c r="R41" s="16" t="s">
        <v>77</v>
      </c>
      <c r="S41" s="16"/>
      <c r="T41" s="16"/>
      <c r="U41" s="20"/>
      <c r="V41" s="18" t="n">
        <f aca="false">IF(M41="","",M41*(1+IF(U41="",Trip!$B$11,U41)))</f>
        <v>432.268292682927</v>
      </c>
      <c r="W41" s="18" t="n">
        <f aca="false">IF(V41="","",V41*I41)</f>
        <v>432.268292682927</v>
      </c>
      <c r="X41" s="21" t="str">
        <f aca="false">IF(OR(M41="",R41="Unavailable"),"",IF(M41=_xlfn.MINIFS($M$5:$M$604,$E$5:$E$604,E41,$G$5:$G$604,G41,$H$5:$H$604,H41,$R$5:$R$604,"&lt;&gt;Unavailable"),"⭐ Cheapest",""))</f>
        <v/>
      </c>
      <c r="Y41" s="18" t="n">
        <f aca="false">IF(COUNTIFS($E$5:$E$604,E41,$G$5:$G$604,G41,$J$5:$J$604,"Booking.com")=0,"",_xlfn.MINIFS($M$5:$M$604,$E$5:$E$604,E41,$G$5:$G$604,G41,$J$5:$J$604,"Booking.com"))</f>
        <v>375.885471898197</v>
      </c>
      <c r="Z41" s="18" t="str">
        <f aca="false">IF(OR(Y41="",M41="",J41="Booking.com"),"",Y41-M41)</f>
        <v/>
      </c>
      <c r="AA41" s="16"/>
      <c r="AB41" s="16"/>
      <c r="AC41" s="16"/>
      <c r="AD41" s="5"/>
    </row>
    <row r="42" customFormat="false" ht="15" hidden="false" customHeight="false" outlineLevel="0" collapsed="false">
      <c r="A42" s="15" t="n">
        <v>38</v>
      </c>
      <c r="B42" s="16" t="s">
        <v>112</v>
      </c>
      <c r="C42" s="17" t="n">
        <v>46378</v>
      </c>
      <c r="D42" s="16" t="n">
        <v>1</v>
      </c>
      <c r="E42" s="5" t="s">
        <v>133</v>
      </c>
      <c r="F42" s="16" t="n">
        <v>5</v>
      </c>
      <c r="G42" s="5" t="s">
        <v>136</v>
      </c>
      <c r="H42" s="16" t="s">
        <v>75</v>
      </c>
      <c r="I42" s="16" t="n">
        <v>1</v>
      </c>
      <c r="J42" s="16" t="s">
        <v>135</v>
      </c>
      <c r="K42" s="16" t="s">
        <v>10</v>
      </c>
      <c r="L42" s="10" t="n">
        <v>34593</v>
      </c>
      <c r="M42" s="18" t="n">
        <f aca="false">IF(L42="","",IFERROR(L42*INDEX(Trip!$E$5:$E$14,MATCH(K42,Trip!$D$5:$D$14,0))/INDEX(Trip!$E$5:$E$14,MATCH(Trip!$B$10,Trip!$D$5:$D$14,0)),""))</f>
        <v>366.839872746554</v>
      </c>
      <c r="N42" s="18" t="n">
        <f aca="false">IF(OR(M42="",D42=""),"",M42/D42)</f>
        <v>366.839872746554</v>
      </c>
      <c r="O42" s="18" t="n">
        <f aca="false">IF(M42="","",M42*I42)</f>
        <v>366.839872746554</v>
      </c>
      <c r="P42" s="17" t="n">
        <v>46345</v>
      </c>
      <c r="Q42" s="19" t="n">
        <f aca="true">IF(ISNUMBER(P42),P42-TODAY(),IF(P42="","",P42))</f>
        <v>43</v>
      </c>
      <c r="R42" s="16" t="s">
        <v>77</v>
      </c>
      <c r="S42" s="16"/>
      <c r="T42" s="16"/>
      <c r="U42" s="20"/>
      <c r="V42" s="18" t="n">
        <f aca="false">IF(M42="","",M42*(1+IF(U42="",Trip!$B$11,U42)))</f>
        <v>421.865853658537</v>
      </c>
      <c r="W42" s="18" t="n">
        <f aca="false">IF(V42="","",V42*I42)</f>
        <v>421.865853658537</v>
      </c>
      <c r="X42" s="21" t="str">
        <f aca="false">IF(OR(M42="",R42="Unavailable"),"",IF(M42=_xlfn.MINIFS($M$5:$M$604,$E$5:$E$604,E42,$G$5:$G$604,G42,$H$5:$H$604,H42,$R$5:$R$604,"&lt;&gt;Unavailable"),"⭐ Cheapest",""))</f>
        <v>⭐ Cheapest</v>
      </c>
      <c r="Y42" s="18" t="n">
        <f aca="false">IF(COUNTIFS($E$5:$E$604,E42,$G$5:$G$604,G42,$J$5:$J$604,"Booking.com")=0,"",_xlfn.MINIFS($M$5:$M$604,$E$5:$E$604,E42,$G$5:$G$604,G42,$J$5:$J$604,"Booking.com"))</f>
        <v>427.401908801697</v>
      </c>
      <c r="Z42" s="18" t="n">
        <f aca="false">IF(OR(Y42="",M42="",J42="Booking.com"),"",Y42-M42)</f>
        <v>60.5620360551432</v>
      </c>
      <c r="AA42" s="16"/>
      <c r="AB42" s="16"/>
      <c r="AC42" s="16"/>
      <c r="AD42" s="5"/>
    </row>
    <row r="43" customFormat="false" ht="15" hidden="false" customHeight="false" outlineLevel="0" collapsed="false">
      <c r="A43" s="15" t="n">
        <v>39</v>
      </c>
      <c r="B43" s="16" t="s">
        <v>112</v>
      </c>
      <c r="C43" s="17" t="n">
        <v>46378</v>
      </c>
      <c r="D43" s="16" t="n">
        <v>1</v>
      </c>
      <c r="E43" s="5" t="s">
        <v>133</v>
      </c>
      <c r="F43" s="16" t="n">
        <v>5</v>
      </c>
      <c r="G43" s="5" t="s">
        <v>136</v>
      </c>
      <c r="H43" s="16" t="s">
        <v>75</v>
      </c>
      <c r="I43" s="16" t="n">
        <v>1</v>
      </c>
      <c r="J43" s="16" t="s">
        <v>78</v>
      </c>
      <c r="K43" s="16" t="s">
        <v>10</v>
      </c>
      <c r="L43" s="10" t="n">
        <v>40304</v>
      </c>
      <c r="M43" s="18" t="n">
        <f aca="false">IF(L43="","",IFERROR(L43*INDEX(Trip!$E$5:$E$14,MATCH(K43,Trip!$D$5:$D$14,0))/INDEX(Trip!$E$5:$E$14,MATCH(Trip!$B$10,Trip!$D$5:$D$14,0)),""))</f>
        <v>427.401908801697</v>
      </c>
      <c r="N43" s="18" t="n">
        <f aca="false">IF(OR(M43="",D43=""),"",M43/D43)</f>
        <v>427.401908801697</v>
      </c>
      <c r="O43" s="18" t="n">
        <f aca="false">IF(M43="","",M43*I43)</f>
        <v>427.401908801697</v>
      </c>
      <c r="P43" s="17" t="n">
        <v>46317</v>
      </c>
      <c r="Q43" s="19" t="n">
        <f aca="true">IF(ISNUMBER(P43),P43-TODAY(),IF(P43="","",P43))</f>
        <v>15</v>
      </c>
      <c r="R43" s="16" t="s">
        <v>77</v>
      </c>
      <c r="S43" s="16"/>
      <c r="T43" s="16"/>
      <c r="U43" s="20"/>
      <c r="V43" s="18" t="n">
        <f aca="false">IF(M43="","",M43*(1+IF(U43="",Trip!$B$11,U43)))</f>
        <v>491.512195121951</v>
      </c>
      <c r="W43" s="18" t="n">
        <f aca="false">IF(V43="","",V43*I43)</f>
        <v>491.512195121951</v>
      </c>
      <c r="X43" s="21" t="str">
        <f aca="false">IF(OR(M43="",R43="Unavailable"),"",IF(M43=_xlfn.MINIFS($M$5:$M$604,$E$5:$E$604,E43,$G$5:$G$604,G43,$H$5:$H$604,H43,$R$5:$R$604,"&lt;&gt;Unavailable"),"⭐ Cheapest",""))</f>
        <v/>
      </c>
      <c r="Y43" s="18" t="n">
        <f aca="false">IF(COUNTIFS($E$5:$E$604,E43,$G$5:$G$604,G43,$J$5:$J$604,"Booking.com")=0,"",_xlfn.MINIFS($M$5:$M$604,$E$5:$E$604,E43,$G$5:$G$604,G43,$J$5:$J$604,"Booking.com"))</f>
        <v>427.401908801697</v>
      </c>
      <c r="Z43" s="18" t="str">
        <f aca="false">IF(OR(Y43="",M43="",J43="Booking.com"),"",Y43-M43)</f>
        <v/>
      </c>
      <c r="AA43" s="16"/>
      <c r="AB43" s="16"/>
      <c r="AC43" s="16"/>
      <c r="AD43" s="5"/>
    </row>
    <row r="44" customFormat="false" ht="15" hidden="false" customHeight="false" outlineLevel="0" collapsed="false">
      <c r="A44" s="15" t="n">
        <v>40</v>
      </c>
      <c r="B44" s="16" t="s">
        <v>112</v>
      </c>
      <c r="C44" s="17" t="n">
        <v>46378</v>
      </c>
      <c r="D44" s="16" t="n">
        <v>1</v>
      </c>
      <c r="E44" s="5" t="s">
        <v>129</v>
      </c>
      <c r="F44" s="16"/>
      <c r="G44" s="5" t="s">
        <v>137</v>
      </c>
      <c r="H44" s="16" t="s">
        <v>75</v>
      </c>
      <c r="I44" s="16" t="n">
        <v>1</v>
      </c>
      <c r="J44" s="16" t="s">
        <v>76</v>
      </c>
      <c r="K44" s="16" t="s">
        <v>10</v>
      </c>
      <c r="L44" s="10" t="n">
        <v>34517.48</v>
      </c>
      <c r="M44" s="18" t="n">
        <f aca="false">IF(L44="","",IFERROR(L44*INDEX(Trip!$E$5:$E$14,MATCH(K44,Trip!$D$5:$D$14,0))/INDEX(Trip!$E$5:$E$14,MATCH(Trip!$B$10,Trip!$D$5:$D$14,0)),""))</f>
        <v>366.039024390244</v>
      </c>
      <c r="N44" s="18" t="n">
        <f aca="false">IF(OR(M44="",D44=""),"",M44/D44)</f>
        <v>366.039024390244</v>
      </c>
      <c r="O44" s="18" t="n">
        <f aca="false">IF(M44="","",M44*I44)</f>
        <v>366.039024390244</v>
      </c>
      <c r="P44" s="17" t="n">
        <v>46361</v>
      </c>
      <c r="Q44" s="19" t="n">
        <f aca="true">IF(ISNUMBER(P44),P44-TODAY(),IF(P44="","",P44))</f>
        <v>59</v>
      </c>
      <c r="R44" s="16" t="s">
        <v>77</v>
      </c>
      <c r="S44" s="16"/>
      <c r="T44" s="16" t="s">
        <v>138</v>
      </c>
      <c r="U44" s="20"/>
      <c r="V44" s="18" t="n">
        <f aca="false">IF(M44="","",M44*(1+IF(U44="",Trip!$B$11,U44)))</f>
        <v>420.944878048781</v>
      </c>
      <c r="W44" s="18" t="n">
        <f aca="false">IF(V44="","",V44*I44)</f>
        <v>420.944878048781</v>
      </c>
      <c r="X44" s="21" t="str">
        <f aca="false">IF(OR(M44="",R44="Unavailable"),"",IF(M44=_xlfn.MINIFS($M$5:$M$604,$E$5:$E$604,E44,$G$5:$G$604,G44,$H$5:$H$604,H44,$R$5:$R$604,"&lt;&gt;Unavailable"),"⭐ Cheapest",""))</f>
        <v/>
      </c>
      <c r="Y44" s="18" t="n">
        <f aca="false">IF(COUNTIFS($E$5:$E$604,E44,$G$5:$G$604,G44,$J$5:$J$604,"Booking.com")=0,"",_xlfn.MINIFS($M$5:$M$604,$E$5:$E$604,E44,$G$5:$G$604,G44,$J$5:$J$604,"Booking.com"))</f>
        <v>315</v>
      </c>
      <c r="Z44" s="18" t="n">
        <f aca="false">IF(OR(Y44="",M44="",J44="Booking.com"),"",Y44-M44)</f>
        <v>-51.0390243902439</v>
      </c>
      <c r="AA44" s="16"/>
      <c r="AB44" s="16"/>
      <c r="AC44" s="16"/>
      <c r="AD44" s="5"/>
    </row>
    <row r="45" customFormat="false" ht="15" hidden="false" customHeight="false" outlineLevel="0" collapsed="false">
      <c r="A45" s="15" t="n">
        <v>41</v>
      </c>
      <c r="B45" s="16" t="s">
        <v>112</v>
      </c>
      <c r="C45" s="17" t="n">
        <v>46378</v>
      </c>
      <c r="D45" s="16" t="n">
        <v>1</v>
      </c>
      <c r="E45" s="5" t="s">
        <v>129</v>
      </c>
      <c r="F45" s="16"/>
      <c r="G45" s="5" t="s">
        <v>137</v>
      </c>
      <c r="H45" s="16" t="s">
        <v>75</v>
      </c>
      <c r="I45" s="16" t="n">
        <v>1</v>
      </c>
      <c r="J45" s="16" t="s">
        <v>78</v>
      </c>
      <c r="K45" s="16" t="s">
        <v>13</v>
      </c>
      <c r="L45" s="10" t="n">
        <v>315</v>
      </c>
      <c r="M45" s="18" t="n">
        <f aca="false">IF(L45="","",IFERROR(L45*INDEX(Trip!$E$5:$E$14,MATCH(K45,Trip!$D$5:$D$14,0))/INDEX(Trip!$E$5:$E$14,MATCH(Trip!$B$10,Trip!$D$5:$D$14,0)),""))</f>
        <v>315</v>
      </c>
      <c r="N45" s="18" t="n">
        <f aca="false">IF(OR(M45="",D45=""),"",M45/D45)</f>
        <v>315</v>
      </c>
      <c r="O45" s="18" t="n">
        <f aca="false">IF(M45="","",M45*I45)</f>
        <v>315</v>
      </c>
      <c r="P45" s="17" t="s">
        <v>132</v>
      </c>
      <c r="Q45" s="19" t="str">
        <f aca="true">IF(ISNUMBER(P45),P45-TODAY(),IF(P45="","",P45))</f>
        <v>NRF</v>
      </c>
      <c r="R45" s="16" t="s">
        <v>77</v>
      </c>
      <c r="S45" s="16"/>
      <c r="T45" s="16"/>
      <c r="U45" s="20"/>
      <c r="V45" s="18" t="n">
        <f aca="false">IF(M45="","",M45*(1+IF(U45="",Trip!$B$11,U45)))</f>
        <v>362.25</v>
      </c>
      <c r="W45" s="18" t="n">
        <f aca="false">IF(V45="","",V45*I45)</f>
        <v>362.25</v>
      </c>
      <c r="X45" s="21" t="str">
        <f aca="false">IF(OR(M45="",R45="Unavailable"),"",IF(M45=_xlfn.MINIFS($M$5:$M$604,$E$5:$E$604,E45,$G$5:$G$604,G45,$H$5:$H$604,H45,$R$5:$R$604,"&lt;&gt;Unavailable"),"⭐ Cheapest",""))</f>
        <v>⭐ Cheapest</v>
      </c>
      <c r="Y45" s="18" t="n">
        <f aca="false">IF(COUNTIFS($E$5:$E$604,E45,$G$5:$G$604,G45,$J$5:$J$604,"Booking.com")=0,"",_xlfn.MINIFS($M$5:$M$604,$E$5:$E$604,E45,$G$5:$G$604,G45,$J$5:$J$604,"Booking.com"))</f>
        <v>315</v>
      </c>
      <c r="Z45" s="18" t="str">
        <f aca="false">IF(OR(Y45="",M45="",J45="Booking.com"),"",Y45-M45)</f>
        <v/>
      </c>
      <c r="AA45" s="16"/>
      <c r="AB45" s="16"/>
      <c r="AC45" s="16"/>
      <c r="AD45" s="5"/>
    </row>
    <row r="46" customFormat="false" ht="15" hidden="false" customHeight="false" outlineLevel="0" collapsed="false">
      <c r="A46" s="15" t="n">
        <v>42</v>
      </c>
      <c r="B46" s="16" t="s">
        <v>112</v>
      </c>
      <c r="C46" s="17" t="n">
        <v>46378</v>
      </c>
      <c r="D46" s="16" t="n">
        <v>1</v>
      </c>
      <c r="E46" s="5" t="s">
        <v>139</v>
      </c>
      <c r="F46" s="16"/>
      <c r="G46" s="5" t="s">
        <v>140</v>
      </c>
      <c r="H46" s="16" t="s">
        <v>75</v>
      </c>
      <c r="I46" s="16" t="n">
        <v>1</v>
      </c>
      <c r="J46" s="16" t="s">
        <v>76</v>
      </c>
      <c r="K46" s="16" t="s">
        <v>10</v>
      </c>
      <c r="L46" s="10" t="n">
        <v>18149.86</v>
      </c>
      <c r="M46" s="18" t="n">
        <f aca="false">IF(L46="","",IFERROR(L46*INDEX(Trip!$E$5:$E$14,MATCH(K46,Trip!$D$5:$D$14,0))/INDEX(Trip!$E$5:$E$14,MATCH(Trip!$B$10,Trip!$D$5:$D$14,0)),""))</f>
        <v>192.469353128314</v>
      </c>
      <c r="N46" s="18" t="n">
        <f aca="false">IF(OR(M46="",D46=""),"",M46/D46)</f>
        <v>192.469353128314</v>
      </c>
      <c r="O46" s="18" t="n">
        <f aca="false">IF(M46="","",M46*I46)</f>
        <v>192.469353128314</v>
      </c>
      <c r="P46" s="17" t="n">
        <v>46368</v>
      </c>
      <c r="Q46" s="19" t="n">
        <f aca="true">IF(ISNUMBER(P46),P46-TODAY(),IF(P46="","",P46))</f>
        <v>66</v>
      </c>
      <c r="R46" s="16" t="s">
        <v>77</v>
      </c>
      <c r="S46" s="16"/>
      <c r="T46" s="16" t="s">
        <v>83</v>
      </c>
      <c r="U46" s="20"/>
      <c r="V46" s="18" t="n">
        <f aca="false">IF(M46="","",M46*(1+IF(U46="",Trip!$B$11,U46)))</f>
        <v>221.339756097561</v>
      </c>
      <c r="W46" s="18" t="n">
        <f aca="false">IF(V46="","",V46*I46)</f>
        <v>221.339756097561</v>
      </c>
      <c r="X46" s="21" t="str">
        <f aca="false">IF(OR(M46="",R46="Unavailable"),"",IF(M46=_xlfn.MINIFS($M$5:$M$604,$E$5:$E$604,E46,$G$5:$G$604,G46,$H$5:$H$604,H46,$R$5:$R$604,"&lt;&gt;Unavailable"),"⭐ Cheapest",""))</f>
        <v>⭐ Cheapest</v>
      </c>
      <c r="Y46" s="18" t="n">
        <f aca="false">IF(COUNTIFS($E$5:$E$604,E46,$G$5:$G$604,G46,$J$5:$J$604,"Booking.com")=0,"",_xlfn.MINIFS($M$5:$M$604,$E$5:$E$604,E46,$G$5:$G$604,G46,$J$5:$J$604,"Booking.com"))</f>
        <v>230</v>
      </c>
      <c r="Z46" s="18" t="n">
        <f aca="false">IF(OR(Y46="",M46="",J46="Booking.com"),"",Y46-M46)</f>
        <v>37.5306468716861</v>
      </c>
      <c r="AA46" s="16"/>
      <c r="AB46" s="16"/>
      <c r="AC46" s="16"/>
      <c r="AD46" s="5"/>
    </row>
    <row r="47" customFormat="false" ht="15" hidden="false" customHeight="false" outlineLevel="0" collapsed="false">
      <c r="A47" s="15" t="n">
        <v>43</v>
      </c>
      <c r="B47" s="16" t="s">
        <v>112</v>
      </c>
      <c r="C47" s="17" t="n">
        <v>46378</v>
      </c>
      <c r="D47" s="16" t="n">
        <v>1</v>
      </c>
      <c r="E47" s="5" t="s">
        <v>139</v>
      </c>
      <c r="F47" s="16"/>
      <c r="G47" s="5" t="s">
        <v>140</v>
      </c>
      <c r="H47" s="16" t="s">
        <v>75</v>
      </c>
      <c r="I47" s="16" t="n">
        <v>1</v>
      </c>
      <c r="J47" s="16" t="s">
        <v>78</v>
      </c>
      <c r="K47" s="16" t="s">
        <v>13</v>
      </c>
      <c r="L47" s="10" t="n">
        <v>230</v>
      </c>
      <c r="M47" s="18" t="n">
        <f aca="false">IF(L47="","",IFERROR(L47*INDEX(Trip!$E$5:$E$14,MATCH(K47,Trip!$D$5:$D$14,0))/INDEX(Trip!$E$5:$E$14,MATCH(Trip!$B$10,Trip!$D$5:$D$14,0)),""))</f>
        <v>230</v>
      </c>
      <c r="N47" s="18" t="n">
        <f aca="false">IF(OR(M47="",D47=""),"",M47/D47)</f>
        <v>230</v>
      </c>
      <c r="O47" s="18" t="n">
        <f aca="false">IF(M47="","",M47*I47)</f>
        <v>230</v>
      </c>
      <c r="P47" s="17"/>
      <c r="Q47" s="19" t="str">
        <f aca="true">IF(ISNUMBER(P47),P47-TODAY(),IF(P47="","",P47))</f>
        <v/>
      </c>
      <c r="R47" s="16" t="s">
        <v>77</v>
      </c>
      <c r="S47" s="16"/>
      <c r="T47" s="16"/>
      <c r="U47" s="20"/>
      <c r="V47" s="18" t="n">
        <f aca="false">IF(M47="","",M47*(1+IF(U47="",Trip!$B$11,U47)))</f>
        <v>264.5</v>
      </c>
      <c r="W47" s="18" t="n">
        <f aca="false">IF(V47="","",V47*I47)</f>
        <v>264.5</v>
      </c>
      <c r="X47" s="21" t="str">
        <f aca="false">IF(OR(M47="",R47="Unavailable"),"",IF(M47=_xlfn.MINIFS($M$5:$M$604,$E$5:$E$604,E47,$G$5:$G$604,G47,$H$5:$H$604,H47,$R$5:$R$604,"&lt;&gt;Unavailable"),"⭐ Cheapest",""))</f>
        <v/>
      </c>
      <c r="Y47" s="18" t="n">
        <f aca="false">IF(COUNTIFS($E$5:$E$604,E47,$G$5:$G$604,G47,$J$5:$J$604,"Booking.com")=0,"",_xlfn.MINIFS($M$5:$M$604,$E$5:$E$604,E47,$G$5:$G$604,G47,$J$5:$J$604,"Booking.com"))</f>
        <v>230</v>
      </c>
      <c r="Z47" s="18" t="str">
        <f aca="false">IF(OR(Y47="",M47="",J47="Booking.com"),"",Y47-M47)</f>
        <v/>
      </c>
      <c r="AA47" s="16"/>
      <c r="AB47" s="16"/>
      <c r="AC47" s="16"/>
      <c r="AD47" s="5"/>
    </row>
    <row r="48" customFormat="false" ht="15" hidden="false" customHeight="false" outlineLevel="0" collapsed="false">
      <c r="A48" s="15" t="n">
        <v>44</v>
      </c>
      <c r="B48" s="16" t="s">
        <v>141</v>
      </c>
      <c r="C48" s="17" t="n">
        <v>46379</v>
      </c>
      <c r="D48" s="16" t="n">
        <v>2</v>
      </c>
      <c r="E48" s="5" t="s">
        <v>142</v>
      </c>
      <c r="F48" s="16" t="n">
        <v>5</v>
      </c>
      <c r="G48" s="5" t="s">
        <v>143</v>
      </c>
      <c r="H48" s="16" t="s">
        <v>75</v>
      </c>
      <c r="I48" s="16" t="n">
        <v>1</v>
      </c>
      <c r="J48" s="16" t="s">
        <v>76</v>
      </c>
      <c r="K48" s="16" t="s">
        <v>10</v>
      </c>
      <c r="L48" s="10" t="n">
        <v>120321</v>
      </c>
      <c r="M48" s="18" t="n">
        <f aca="false">IF(L48="","",IFERROR(L48*INDEX(Trip!$E$5:$E$14,MATCH(K48,Trip!$D$5:$D$14,0))/INDEX(Trip!$E$5:$E$14,MATCH(Trip!$B$10,Trip!$D$5:$D$14,0)),""))</f>
        <v>1275.93849416755</v>
      </c>
      <c r="N48" s="18" t="n">
        <f aca="false">IF(OR(M48="",D48=""),"",M48/D48)</f>
        <v>637.969247083775</v>
      </c>
      <c r="O48" s="18" t="n">
        <f aca="false">IF(M48="","",M48*I48)</f>
        <v>1275.93849416755</v>
      </c>
      <c r="P48" s="17" t="n">
        <v>46372</v>
      </c>
      <c r="Q48" s="19" t="n">
        <f aca="true">IF(ISNUMBER(P48),P48-TODAY(),IF(P48="","",P48))</f>
        <v>70</v>
      </c>
      <c r="R48" s="16" t="s">
        <v>77</v>
      </c>
      <c r="S48" s="16"/>
      <c r="T48" s="16" t="s">
        <v>109</v>
      </c>
      <c r="U48" s="20"/>
      <c r="V48" s="18" t="n">
        <f aca="false">IF(M48="","",M48*(1+IF(U48="",Trip!$B$11,U48)))</f>
        <v>1467.32926829268</v>
      </c>
      <c r="W48" s="18" t="n">
        <f aca="false">IF(V48="","",V48*I48)</f>
        <v>1467.32926829268</v>
      </c>
      <c r="X48" s="21" t="str">
        <f aca="false">IF(OR(M48="",R48="Unavailable"),"",IF(M48=_xlfn.MINIFS($M$5:$M$604,$E$5:$E$604,E48,$G$5:$G$604,G48,$H$5:$H$604,H48,$R$5:$R$604,"&lt;&gt;Unavailable"),"⭐ Cheapest",""))</f>
        <v/>
      </c>
      <c r="Y48" s="18" t="n">
        <f aca="false">IF(COUNTIFS($E$5:$E$604,E48,$G$5:$G$604,G48,$J$5:$J$604,"Booking.com")=0,"",_xlfn.MINIFS($M$5:$M$604,$E$5:$E$604,E48,$G$5:$G$604,G48,$J$5:$J$604,"Booking.com"))</f>
        <v>771.092258748675</v>
      </c>
      <c r="Z48" s="18" t="n">
        <f aca="false">IF(OR(Y48="",M48="",J48="Booking.com"),"",Y48-M48)</f>
        <v>-504.846235418876</v>
      </c>
      <c r="AA48" s="16"/>
      <c r="AB48" s="16"/>
      <c r="AC48" s="16"/>
      <c r="AD48" s="5"/>
    </row>
    <row r="49" customFormat="false" ht="15" hidden="false" customHeight="false" outlineLevel="0" collapsed="false">
      <c r="A49" s="15" t="n">
        <v>45</v>
      </c>
      <c r="B49" s="16" t="s">
        <v>141</v>
      </c>
      <c r="C49" s="17" t="n">
        <v>46379</v>
      </c>
      <c r="D49" s="16" t="n">
        <v>2</v>
      </c>
      <c r="E49" s="5" t="s">
        <v>142</v>
      </c>
      <c r="F49" s="16" t="n">
        <v>5</v>
      </c>
      <c r="G49" s="5" t="s">
        <v>143</v>
      </c>
      <c r="H49" s="16" t="s">
        <v>75</v>
      </c>
      <c r="I49" s="16" t="n">
        <v>1</v>
      </c>
      <c r="J49" s="16" t="s">
        <v>78</v>
      </c>
      <c r="K49" s="16" t="s">
        <v>10</v>
      </c>
      <c r="L49" s="10" t="n">
        <v>72714</v>
      </c>
      <c r="M49" s="18" t="n">
        <f aca="false">IF(L49="","",IFERROR(L49*INDEX(Trip!$E$5:$E$14,MATCH(K49,Trip!$D$5:$D$14,0))/INDEX(Trip!$E$5:$E$14,MATCH(Trip!$B$10,Trip!$D$5:$D$14,0)),""))</f>
        <v>771.092258748675</v>
      </c>
      <c r="N49" s="18" t="n">
        <f aca="false">IF(OR(M49="",D49=""),"",M49/D49)</f>
        <v>385.546129374337</v>
      </c>
      <c r="O49" s="18" t="n">
        <f aca="false">IF(M49="","",M49*I49)</f>
        <v>771.092258748675</v>
      </c>
      <c r="P49" s="17" t="n">
        <v>46371</v>
      </c>
      <c r="Q49" s="19" t="n">
        <f aca="true">IF(ISNUMBER(P49),P49-TODAY(),IF(P49="","",P49))</f>
        <v>69</v>
      </c>
      <c r="R49" s="16" t="s">
        <v>77</v>
      </c>
      <c r="S49" s="16"/>
      <c r="T49" s="16"/>
      <c r="U49" s="20"/>
      <c r="V49" s="18" t="n">
        <f aca="false">IF(M49="","",M49*(1+IF(U49="",Trip!$B$11,U49)))</f>
        <v>886.756097560976</v>
      </c>
      <c r="W49" s="18" t="n">
        <f aca="false">IF(V49="","",V49*I49)</f>
        <v>886.756097560976</v>
      </c>
      <c r="X49" s="21" t="str">
        <f aca="false">IF(OR(M49="",R49="Unavailable"),"",IF(M49=_xlfn.MINIFS($M$5:$M$604,$E$5:$E$604,E49,$G$5:$G$604,G49,$H$5:$H$604,H49,$R$5:$R$604,"&lt;&gt;Unavailable"),"⭐ Cheapest",""))</f>
        <v>⭐ Cheapest</v>
      </c>
      <c r="Y49" s="18" t="n">
        <f aca="false">IF(COUNTIFS($E$5:$E$604,E49,$G$5:$G$604,G49,$J$5:$J$604,"Booking.com")=0,"",_xlfn.MINIFS($M$5:$M$604,$E$5:$E$604,E49,$G$5:$G$604,G49,$J$5:$J$604,"Booking.com"))</f>
        <v>771.092258748675</v>
      </c>
      <c r="Z49" s="18" t="str">
        <f aca="false">IF(OR(Y49="",M49="",J49="Booking.com"),"",Y49-M49)</f>
        <v/>
      </c>
      <c r="AA49" s="16"/>
      <c r="AB49" s="16"/>
      <c r="AC49" s="16"/>
      <c r="AD49" s="5"/>
    </row>
    <row r="50" customFormat="false" ht="23.85" hidden="false" customHeight="false" outlineLevel="0" collapsed="false">
      <c r="A50" s="15" t="n">
        <v>46</v>
      </c>
      <c r="B50" s="16" t="s">
        <v>141</v>
      </c>
      <c r="C50" s="17" t="n">
        <v>46379</v>
      </c>
      <c r="D50" s="16" t="n">
        <v>2</v>
      </c>
      <c r="E50" s="5" t="s">
        <v>142</v>
      </c>
      <c r="F50" s="16" t="n">
        <v>5</v>
      </c>
      <c r="G50" s="5" t="s">
        <v>144</v>
      </c>
      <c r="H50" s="16" t="s">
        <v>75</v>
      </c>
      <c r="I50" s="16" t="n">
        <v>1</v>
      </c>
      <c r="J50" s="16" t="s">
        <v>76</v>
      </c>
      <c r="K50" s="16" t="s">
        <v>10</v>
      </c>
      <c r="L50" s="10" t="n">
        <v>145908</v>
      </c>
      <c r="M50" s="18" t="n">
        <f aca="false">IF(L50="","",IFERROR(L50*INDEX(Trip!$E$5:$E$14,MATCH(K50,Trip!$D$5:$D$14,0))/INDEX(Trip!$E$5:$E$14,MATCH(Trip!$B$10,Trip!$D$5:$D$14,0)),""))</f>
        <v>1547.27465535525</v>
      </c>
      <c r="N50" s="18" t="n">
        <f aca="false">IF(OR(M50="",D50=""),"",M50/D50)</f>
        <v>773.637327677625</v>
      </c>
      <c r="O50" s="18" t="n">
        <f aca="false">IF(M50="","",M50*I50)</f>
        <v>1547.27465535525</v>
      </c>
      <c r="P50" s="17" t="n">
        <v>46374</v>
      </c>
      <c r="Q50" s="19" t="n">
        <f aca="true">IF(ISNUMBER(P50),P50-TODAY(),IF(P50="","",P50))</f>
        <v>72</v>
      </c>
      <c r="R50" s="16" t="s">
        <v>77</v>
      </c>
      <c r="S50" s="16"/>
      <c r="T50" s="16" t="s">
        <v>109</v>
      </c>
      <c r="U50" s="20"/>
      <c r="V50" s="18" t="n">
        <f aca="false">IF(M50="","",M50*(1+IF(U50="",Trip!$B$11,U50)))</f>
        <v>1779.36585365854</v>
      </c>
      <c r="W50" s="18" t="n">
        <f aca="false">IF(V50="","",V50*I50)</f>
        <v>1779.36585365854</v>
      </c>
      <c r="X50" s="21" t="str">
        <f aca="false">IF(OR(M50="",R50="Unavailable"),"",IF(M50=_xlfn.MINIFS($M$5:$M$604,$E$5:$E$604,E50,$G$5:$G$604,G50,$H$5:$H$604,H50,$R$5:$R$604,"&lt;&gt;Unavailable"),"⭐ Cheapest",""))</f>
        <v/>
      </c>
      <c r="Y50" s="18" t="n">
        <f aca="false">IF(COUNTIFS($E$5:$E$604,E50,$G$5:$G$604,G50,$J$5:$J$604,"Booking.com")=0,"",_xlfn.MINIFS($M$5:$M$604,$E$5:$E$604,E50,$G$5:$G$604,G50,$J$5:$J$604,"Booking.com"))</f>
        <v>771.092258748675</v>
      </c>
      <c r="Z50" s="18" t="n">
        <f aca="false">IF(OR(Y50="",M50="",J50="Booking.com"),"",Y50-M50)</f>
        <v>-776.182396606575</v>
      </c>
      <c r="AA50" s="16"/>
      <c r="AB50" s="16"/>
      <c r="AC50" s="16"/>
      <c r="AD50" s="5"/>
    </row>
    <row r="51" customFormat="false" ht="23.85" hidden="false" customHeight="false" outlineLevel="0" collapsed="false">
      <c r="A51" s="15" t="n">
        <v>47</v>
      </c>
      <c r="B51" s="16" t="s">
        <v>141</v>
      </c>
      <c r="C51" s="17" t="n">
        <v>46379</v>
      </c>
      <c r="D51" s="16" t="n">
        <v>2</v>
      </c>
      <c r="E51" s="5" t="s">
        <v>142</v>
      </c>
      <c r="F51" s="16" t="n">
        <v>5</v>
      </c>
      <c r="G51" s="5" t="s">
        <v>144</v>
      </c>
      <c r="H51" s="16" t="s">
        <v>75</v>
      </c>
      <c r="I51" s="16" t="n">
        <v>1</v>
      </c>
      <c r="J51" s="16" t="s">
        <v>78</v>
      </c>
      <c r="K51" s="16" t="s">
        <v>10</v>
      </c>
      <c r="L51" s="10" t="n">
        <v>72714</v>
      </c>
      <c r="M51" s="18" t="n">
        <f aca="false">IF(L51="","",IFERROR(L51*INDEX(Trip!$E$5:$E$14,MATCH(K51,Trip!$D$5:$D$14,0))/INDEX(Trip!$E$5:$E$14,MATCH(Trip!$B$10,Trip!$D$5:$D$14,0)),""))</f>
        <v>771.092258748675</v>
      </c>
      <c r="N51" s="18" t="n">
        <f aca="false">IF(OR(M51="",D51=""),"",M51/D51)</f>
        <v>385.546129374337</v>
      </c>
      <c r="O51" s="18" t="n">
        <f aca="false">IF(M51="","",M51*I51)</f>
        <v>771.092258748675</v>
      </c>
      <c r="P51" s="17" t="n">
        <v>46371</v>
      </c>
      <c r="Q51" s="19" t="n">
        <f aca="true">IF(ISNUMBER(P51),P51-TODAY(),IF(P51="","",P51))</f>
        <v>69</v>
      </c>
      <c r="R51" s="16" t="s">
        <v>77</v>
      </c>
      <c r="S51" s="16"/>
      <c r="T51" s="16"/>
      <c r="U51" s="20"/>
      <c r="V51" s="18" t="n">
        <f aca="false">IF(M51="","",M51*(1+IF(U51="",Trip!$B$11,U51)))</f>
        <v>886.756097560976</v>
      </c>
      <c r="W51" s="18" t="n">
        <f aca="false">IF(V51="","",V51*I51)</f>
        <v>886.756097560976</v>
      </c>
      <c r="X51" s="21" t="str">
        <f aca="false">IF(OR(M51="",R51="Unavailable"),"",IF(M51=_xlfn.MINIFS($M$5:$M$604,$E$5:$E$604,E51,$G$5:$G$604,G51,$H$5:$H$604,H51,$R$5:$R$604,"&lt;&gt;Unavailable"),"⭐ Cheapest",""))</f>
        <v>⭐ Cheapest</v>
      </c>
      <c r="Y51" s="18" t="n">
        <f aca="false">IF(COUNTIFS($E$5:$E$604,E51,$G$5:$G$604,G51,$J$5:$J$604,"Booking.com")=0,"",_xlfn.MINIFS($M$5:$M$604,$E$5:$E$604,E51,$G$5:$G$604,G51,$J$5:$J$604,"Booking.com"))</f>
        <v>771.092258748675</v>
      </c>
      <c r="Z51" s="18" t="str">
        <f aca="false">IF(OR(Y51="",M51="",J51="Booking.com"),"",Y51-M51)</f>
        <v/>
      </c>
      <c r="AA51" s="16"/>
      <c r="AB51" s="16"/>
      <c r="AC51" s="16"/>
      <c r="AD51" s="5"/>
    </row>
    <row r="52" customFormat="false" ht="15" hidden="false" customHeight="false" outlineLevel="0" collapsed="false">
      <c r="A52" s="15" t="n">
        <v>48</v>
      </c>
      <c r="B52" s="16" t="s">
        <v>141</v>
      </c>
      <c r="C52" s="17" t="n">
        <v>46379</v>
      </c>
      <c r="D52" s="16" t="n">
        <v>2</v>
      </c>
      <c r="E52" s="5" t="s">
        <v>142</v>
      </c>
      <c r="F52" s="16" t="n">
        <v>5</v>
      </c>
      <c r="G52" s="5" t="s">
        <v>145</v>
      </c>
      <c r="H52" s="16" t="s">
        <v>104</v>
      </c>
      <c r="I52" s="16" t="n">
        <v>1</v>
      </c>
      <c r="J52" s="16" t="s">
        <v>76</v>
      </c>
      <c r="K52" s="16" t="s">
        <v>10</v>
      </c>
      <c r="L52" s="10" t="n">
        <v>82090</v>
      </c>
      <c r="M52" s="18" t="n">
        <f aca="false">IF(L52="","",IFERROR(L52*INDEX(Trip!$E$5:$E$14,MATCH(K52,Trip!$D$5:$D$14,0))/INDEX(Trip!$E$5:$E$14,MATCH(Trip!$B$10,Trip!$D$5:$D$14,0)),""))</f>
        <v>870.519618239661</v>
      </c>
      <c r="N52" s="18" t="n">
        <f aca="false">IF(OR(M52="",D52=""),"",M52/D52)</f>
        <v>435.25980911983</v>
      </c>
      <c r="O52" s="18" t="n">
        <f aca="false">IF(M52="","",M52*I52)</f>
        <v>870.519618239661</v>
      </c>
      <c r="P52" s="17" t="s">
        <v>132</v>
      </c>
      <c r="Q52" s="19" t="str">
        <f aca="true">IF(ISNUMBER(P52),P52-TODAY(),IF(P52="","",P52))</f>
        <v>NRF</v>
      </c>
      <c r="R52" s="16" t="s">
        <v>77</v>
      </c>
      <c r="S52" s="16"/>
      <c r="T52" s="16"/>
      <c r="U52" s="20"/>
      <c r="V52" s="18" t="n">
        <f aca="false">IF(M52="","",M52*(1+IF(U52="",Trip!$B$11,U52)))</f>
        <v>1001.09756097561</v>
      </c>
      <c r="W52" s="18" t="n">
        <f aca="false">IF(V52="","",V52*I52)</f>
        <v>1001.09756097561</v>
      </c>
      <c r="X52" s="21" t="str">
        <f aca="false">IF(OR(M52="",R52="Unavailable"),"",IF(M52=_xlfn.MINIFS($M$5:$M$604,$E$5:$E$604,E52,$G$5:$G$604,G52,$H$5:$H$604,H52,$R$5:$R$604,"&lt;&gt;Unavailable"),"⭐ Cheapest",""))</f>
        <v>⭐ Cheapest</v>
      </c>
      <c r="Y52" s="18" t="n">
        <f aca="false">IF(COUNTIFS($E$5:$E$604,E52,$G$5:$G$604,G52,$J$5:$J$604,"Booking.com")=0,"",_xlfn.MINIFS($M$5:$M$604,$E$5:$E$604,E52,$G$5:$G$604,G52,$J$5:$J$604,"Booking.com"))</f>
        <v>928.610816542948</v>
      </c>
      <c r="Z52" s="18" t="n">
        <f aca="false">IF(OR(Y52="",M52="",J52="Booking.com"),"",Y52-M52)</f>
        <v>58.0911983032875</v>
      </c>
      <c r="AA52" s="16"/>
      <c r="AB52" s="16"/>
      <c r="AC52" s="16"/>
      <c r="AD52" s="5"/>
    </row>
    <row r="53" customFormat="false" ht="15" hidden="false" customHeight="false" outlineLevel="0" collapsed="false">
      <c r="A53" s="15" t="n">
        <v>49</v>
      </c>
      <c r="B53" s="16" t="s">
        <v>141</v>
      </c>
      <c r="C53" s="17" t="n">
        <v>46379</v>
      </c>
      <c r="D53" s="16" t="n">
        <v>2</v>
      </c>
      <c r="E53" s="5" t="s">
        <v>142</v>
      </c>
      <c r="F53" s="16" t="n">
        <v>5</v>
      </c>
      <c r="G53" s="5" t="s">
        <v>145</v>
      </c>
      <c r="H53" s="16" t="s">
        <v>104</v>
      </c>
      <c r="I53" s="16" t="n">
        <v>1</v>
      </c>
      <c r="J53" s="16" t="s">
        <v>78</v>
      </c>
      <c r="K53" s="16" t="s">
        <v>10</v>
      </c>
      <c r="L53" s="10" t="n">
        <v>87568</v>
      </c>
      <c r="M53" s="18" t="n">
        <f aca="false">IF(L53="","",IFERROR(L53*INDEX(Trip!$E$5:$E$14,MATCH(K53,Trip!$D$5:$D$14,0))/INDEX(Trip!$E$5:$E$14,MATCH(Trip!$B$10,Trip!$D$5:$D$14,0)),""))</f>
        <v>928.610816542948</v>
      </c>
      <c r="N53" s="18" t="n">
        <f aca="false">IF(OR(M53="",D53=""),"",M53/D53)</f>
        <v>464.305408271474</v>
      </c>
      <c r="O53" s="18" t="n">
        <f aca="false">IF(M53="","",M53*I53)</f>
        <v>928.610816542948</v>
      </c>
      <c r="P53" s="17" t="n">
        <v>46371</v>
      </c>
      <c r="Q53" s="19" t="n">
        <f aca="true">IF(ISNUMBER(P53),P53-TODAY(),IF(P53="","",P53))</f>
        <v>69</v>
      </c>
      <c r="R53" s="16" t="s">
        <v>77</v>
      </c>
      <c r="S53" s="16"/>
      <c r="T53" s="16"/>
      <c r="U53" s="20"/>
      <c r="V53" s="18" t="n">
        <f aca="false">IF(M53="","",M53*(1+IF(U53="",Trip!$B$11,U53)))</f>
        <v>1067.90243902439</v>
      </c>
      <c r="W53" s="18" t="n">
        <f aca="false">IF(V53="","",V53*I53)</f>
        <v>1067.90243902439</v>
      </c>
      <c r="X53" s="21" t="str">
        <f aca="false">IF(OR(M53="",R53="Unavailable"),"",IF(M53=_xlfn.MINIFS($M$5:$M$604,$E$5:$E$604,E53,$G$5:$G$604,G53,$H$5:$H$604,H53,$R$5:$R$604,"&lt;&gt;Unavailable"),"⭐ Cheapest",""))</f>
        <v/>
      </c>
      <c r="Y53" s="18" t="n">
        <f aca="false">IF(COUNTIFS($E$5:$E$604,E53,$G$5:$G$604,G53,$J$5:$J$604,"Booking.com")=0,"",_xlfn.MINIFS($M$5:$M$604,$E$5:$E$604,E53,$G$5:$G$604,G53,$J$5:$J$604,"Booking.com"))</f>
        <v>928.610816542948</v>
      </c>
      <c r="Z53" s="18" t="str">
        <f aca="false">IF(OR(Y53="",M53="",J53="Booking.com"),"",Y53-M53)</f>
        <v/>
      </c>
      <c r="AA53" s="16"/>
      <c r="AB53" s="16"/>
      <c r="AC53" s="16"/>
      <c r="AD53" s="5"/>
    </row>
    <row r="54" customFormat="false" ht="15" hidden="false" customHeight="false" outlineLevel="0" collapsed="false">
      <c r="A54" s="15" t="n">
        <v>50</v>
      </c>
      <c r="B54" s="16" t="s">
        <v>141</v>
      </c>
      <c r="C54" s="17" t="n">
        <v>46379</v>
      </c>
      <c r="D54" s="16" t="n">
        <v>2</v>
      </c>
      <c r="E54" s="5" t="s">
        <v>142</v>
      </c>
      <c r="F54" s="16" t="n">
        <v>5</v>
      </c>
      <c r="G54" s="5" t="s">
        <v>143</v>
      </c>
      <c r="H54" s="16" t="s">
        <v>104</v>
      </c>
      <c r="I54" s="16" t="n">
        <v>1</v>
      </c>
      <c r="J54" s="16" t="s">
        <v>76</v>
      </c>
      <c r="K54" s="16" t="s">
        <v>10</v>
      </c>
      <c r="L54" s="10" t="n">
        <v>72893</v>
      </c>
      <c r="M54" s="18" t="n">
        <f aca="false">IF(L54="","",IFERROR(L54*INDEX(Trip!$E$5:$E$14,MATCH(K54,Trip!$D$5:$D$14,0))/INDEX(Trip!$E$5:$E$14,MATCH(Trip!$B$10,Trip!$D$5:$D$14,0)),""))</f>
        <v>772.990455991517</v>
      </c>
      <c r="N54" s="18" t="n">
        <f aca="false">IF(OR(M54="",D54=""),"",M54/D54)</f>
        <v>386.495227995758</v>
      </c>
      <c r="O54" s="18" t="n">
        <f aca="false">IF(M54="","",M54*I54)</f>
        <v>772.990455991517</v>
      </c>
      <c r="P54" s="17" t="s">
        <v>132</v>
      </c>
      <c r="Q54" s="19" t="str">
        <f aca="true">IF(ISNUMBER(P54),P54-TODAY(),IF(P54="","",P54))</f>
        <v>NRF</v>
      </c>
      <c r="R54" s="16" t="s">
        <v>77</v>
      </c>
      <c r="S54" s="16"/>
      <c r="T54" s="16"/>
      <c r="U54" s="20"/>
      <c r="V54" s="18" t="n">
        <f aca="false">IF(M54="","",M54*(1+IF(U54="",Trip!$B$11,U54)))</f>
        <v>888.939024390244</v>
      </c>
      <c r="W54" s="18" t="n">
        <f aca="false">IF(V54="","",V54*I54)</f>
        <v>888.939024390244</v>
      </c>
      <c r="X54" s="21" t="str">
        <f aca="false">IF(OR(M54="",R54="Unavailable"),"",IF(M54=_xlfn.MINIFS($M$5:$M$604,$E$5:$E$604,E54,$G$5:$G$604,G54,$H$5:$H$604,H54,$R$5:$R$604,"&lt;&gt;Unavailable"),"⭐ Cheapest",""))</f>
        <v>⭐ Cheapest</v>
      </c>
      <c r="Y54" s="18" t="n">
        <f aca="false">IF(COUNTIFS($E$5:$E$604,E54,$G$5:$G$604,G54,$J$5:$J$604,"Booking.com")=0,"",_xlfn.MINIFS($M$5:$M$604,$E$5:$E$604,E54,$G$5:$G$604,G54,$J$5:$J$604,"Booking.com"))</f>
        <v>771.092258748675</v>
      </c>
      <c r="Z54" s="18" t="n">
        <f aca="false">IF(OR(Y54="",M54="",J54="Booking.com"),"",Y54-M54)</f>
        <v>-1.898197242842</v>
      </c>
      <c r="AA54" s="16"/>
      <c r="AB54" s="16"/>
      <c r="AC54" s="16"/>
      <c r="AD54" s="5"/>
    </row>
    <row r="55" customFormat="false" ht="15" hidden="false" customHeight="false" outlineLevel="0" collapsed="false">
      <c r="A55" s="15" t="n">
        <v>51</v>
      </c>
      <c r="B55" s="16" t="s">
        <v>141</v>
      </c>
      <c r="C55" s="17" t="n">
        <v>46379</v>
      </c>
      <c r="D55" s="16" t="n">
        <v>2</v>
      </c>
      <c r="E55" s="5" t="s">
        <v>142</v>
      </c>
      <c r="F55" s="16" t="n">
        <v>5</v>
      </c>
      <c r="G55" s="5" t="s">
        <v>143</v>
      </c>
      <c r="H55" s="16" t="s">
        <v>104</v>
      </c>
      <c r="I55" s="16" t="n">
        <v>1</v>
      </c>
      <c r="J55" s="16" t="s">
        <v>78</v>
      </c>
      <c r="K55" s="16" t="s">
        <v>10</v>
      </c>
      <c r="L55" s="10" t="n">
        <v>77757</v>
      </c>
      <c r="M55" s="18" t="n">
        <f aca="false">IF(L55="","",IFERROR(L55*INDEX(Trip!$E$5:$E$14,MATCH(K55,Trip!$D$5:$D$14,0))/INDEX(Trip!$E$5:$E$14,MATCH(Trip!$B$10,Trip!$D$5:$D$14,0)),""))</f>
        <v>824.57051961824</v>
      </c>
      <c r="N55" s="18" t="n">
        <f aca="false">IF(OR(M55="",D55=""),"",M55/D55)</f>
        <v>412.28525980912</v>
      </c>
      <c r="O55" s="18" t="n">
        <f aca="false">IF(M55="","",M55*I55)</f>
        <v>824.57051961824</v>
      </c>
      <c r="P55" s="17" t="n">
        <v>46371</v>
      </c>
      <c r="Q55" s="19" t="n">
        <f aca="true">IF(ISNUMBER(P55),P55-TODAY(),IF(P55="","",P55))</f>
        <v>69</v>
      </c>
      <c r="R55" s="16" t="s">
        <v>77</v>
      </c>
      <c r="S55" s="16"/>
      <c r="T55" s="16"/>
      <c r="U55" s="20"/>
      <c r="V55" s="18" t="n">
        <f aca="false">IF(M55="","",M55*(1+IF(U55="",Trip!$B$11,U55)))</f>
        <v>948.256097560976</v>
      </c>
      <c r="W55" s="18" t="n">
        <f aca="false">IF(V55="","",V55*I55)</f>
        <v>948.256097560976</v>
      </c>
      <c r="X55" s="21" t="str">
        <f aca="false">IF(OR(M55="",R55="Unavailable"),"",IF(M55=_xlfn.MINIFS($M$5:$M$604,$E$5:$E$604,E55,$G$5:$G$604,G55,$H$5:$H$604,H55,$R$5:$R$604,"&lt;&gt;Unavailable"),"⭐ Cheapest",""))</f>
        <v/>
      </c>
      <c r="Y55" s="18" t="n">
        <f aca="false">IF(COUNTIFS($E$5:$E$604,E55,$G$5:$G$604,G55,$J$5:$J$604,"Booking.com")=0,"",_xlfn.MINIFS($M$5:$M$604,$E$5:$E$604,E55,$G$5:$G$604,G55,$J$5:$J$604,"Booking.com"))</f>
        <v>771.092258748675</v>
      </c>
      <c r="Z55" s="18" t="str">
        <f aca="false">IF(OR(Y55="",M55="",J55="Booking.com"),"",Y55-M55)</f>
        <v/>
      </c>
      <c r="AA55" s="16"/>
      <c r="AB55" s="16"/>
      <c r="AC55" s="16"/>
      <c r="AD55" s="5"/>
    </row>
    <row r="56" customFormat="false" ht="15" hidden="false" customHeight="false" outlineLevel="0" collapsed="false">
      <c r="A56" s="15" t="n">
        <v>52</v>
      </c>
      <c r="B56" s="16" t="s">
        <v>141</v>
      </c>
      <c r="C56" s="17" t="n">
        <v>46379</v>
      </c>
      <c r="D56" s="16" t="n">
        <v>2</v>
      </c>
      <c r="E56" s="5" t="s">
        <v>142</v>
      </c>
      <c r="F56" s="16" t="n">
        <v>5</v>
      </c>
      <c r="G56" s="5" t="s">
        <v>145</v>
      </c>
      <c r="H56" s="16" t="s">
        <v>104</v>
      </c>
      <c r="I56" s="16" t="n">
        <v>1</v>
      </c>
      <c r="J56" s="16" t="s">
        <v>111</v>
      </c>
      <c r="K56" s="16" t="s">
        <v>13</v>
      </c>
      <c r="L56" s="10" t="n">
        <v>937</v>
      </c>
      <c r="M56" s="18" t="n">
        <f aca="false">IF(L56="","",IFERROR(L56*INDEX(Trip!$E$5:$E$14,MATCH(K56,Trip!$D$5:$D$14,0))/INDEX(Trip!$E$5:$E$14,MATCH(Trip!$B$10,Trip!$D$5:$D$14,0)),""))</f>
        <v>937</v>
      </c>
      <c r="N56" s="18" t="n">
        <f aca="false">IF(OR(M56="",D56=""),"",M56/D56)</f>
        <v>468.5</v>
      </c>
      <c r="O56" s="18" t="n">
        <f aca="false">IF(M56="","",M56*I56)</f>
        <v>937</v>
      </c>
      <c r="P56" s="17" t="s">
        <v>146</v>
      </c>
      <c r="Q56" s="19" t="str">
        <f aca="true">IF(ISNUMBER(P56),P56-TODAY(),IF(P56="","",P56))</f>
        <v>50% NRF</v>
      </c>
      <c r="R56" s="16" t="s">
        <v>77</v>
      </c>
      <c r="S56" s="16"/>
      <c r="T56" s="16"/>
      <c r="U56" s="20"/>
      <c r="V56" s="18" t="n">
        <f aca="false">IF(M56="","",M56*(1+IF(U56="",Trip!$B$11,U56)))</f>
        <v>1077.55</v>
      </c>
      <c r="W56" s="18" t="n">
        <f aca="false">IF(V56="","",V56*I56)</f>
        <v>1077.55</v>
      </c>
      <c r="X56" s="21" t="str">
        <f aca="false">IF(OR(M56="",R56="Unavailable"),"",IF(M56=_xlfn.MINIFS($M$5:$M$604,$E$5:$E$604,E56,$G$5:$G$604,G56,$H$5:$H$604,H56,$R$5:$R$604,"&lt;&gt;Unavailable"),"⭐ Cheapest",""))</f>
        <v/>
      </c>
      <c r="Y56" s="18" t="n">
        <f aca="false">IF(COUNTIFS($E$5:$E$604,E56,$G$5:$G$604,G56,$J$5:$J$604,"Booking.com")=0,"",_xlfn.MINIFS($M$5:$M$604,$E$5:$E$604,E56,$G$5:$G$604,G56,$J$5:$J$604,"Booking.com"))</f>
        <v>928.610816542948</v>
      </c>
      <c r="Z56" s="18" t="n">
        <f aca="false">IF(OR(Y56="",M56="",J56="Booking.com"),"",Y56-M56)</f>
        <v>-8.38918345705179</v>
      </c>
      <c r="AA56" s="16"/>
      <c r="AB56" s="16"/>
      <c r="AC56" s="16"/>
      <c r="AD56" s="5"/>
    </row>
    <row r="57" customFormat="false" ht="15" hidden="false" customHeight="false" outlineLevel="0" collapsed="false">
      <c r="A57" s="15" t="n">
        <v>53</v>
      </c>
      <c r="B57" s="16" t="s">
        <v>141</v>
      </c>
      <c r="C57" s="17" t="n">
        <v>46379</v>
      </c>
      <c r="D57" s="16" t="n">
        <v>2</v>
      </c>
      <c r="E57" s="5" t="s">
        <v>142</v>
      </c>
      <c r="F57" s="16" t="n">
        <v>5</v>
      </c>
      <c r="G57" s="5" t="s">
        <v>143</v>
      </c>
      <c r="H57" s="16" t="s">
        <v>104</v>
      </c>
      <c r="I57" s="16" t="n">
        <v>1</v>
      </c>
      <c r="J57" s="16" t="s">
        <v>111</v>
      </c>
      <c r="K57" s="16" t="s">
        <v>13</v>
      </c>
      <c r="L57" s="10" t="n">
        <v>1010</v>
      </c>
      <c r="M57" s="18" t="n">
        <f aca="false">IF(L57="","",IFERROR(L57*INDEX(Trip!$E$5:$E$14,MATCH(K57,Trip!$D$5:$D$14,0))/INDEX(Trip!$E$5:$E$14,MATCH(Trip!$B$10,Trip!$D$5:$D$14,0)),""))</f>
        <v>1010</v>
      </c>
      <c r="N57" s="18" t="n">
        <f aca="false">IF(OR(M57="",D57=""),"",M57/D57)</f>
        <v>505</v>
      </c>
      <c r="O57" s="18" t="n">
        <f aca="false">IF(M57="","",M57*I57)</f>
        <v>1010</v>
      </c>
      <c r="P57" s="17" t="s">
        <v>146</v>
      </c>
      <c r="Q57" s="19" t="str">
        <f aca="true">IF(ISNUMBER(P57),P57-TODAY(),IF(P57="","",P57))</f>
        <v>50% NRF</v>
      </c>
      <c r="R57" s="16" t="s">
        <v>77</v>
      </c>
      <c r="S57" s="16"/>
      <c r="T57" s="16"/>
      <c r="U57" s="20"/>
      <c r="V57" s="18" t="n">
        <f aca="false">IF(M57="","",M57*(1+IF(U57="",Trip!$B$11,U57)))</f>
        <v>1161.5</v>
      </c>
      <c r="W57" s="18" t="n">
        <f aca="false">IF(V57="","",V57*I57)</f>
        <v>1161.5</v>
      </c>
      <c r="X57" s="21" t="str">
        <f aca="false">IF(OR(M57="",R57="Unavailable"),"",IF(M57=_xlfn.MINIFS($M$5:$M$604,$E$5:$E$604,E57,$G$5:$G$604,G57,$H$5:$H$604,H57,$R$5:$R$604,"&lt;&gt;Unavailable"),"⭐ Cheapest",""))</f>
        <v/>
      </c>
      <c r="Y57" s="18" t="n">
        <f aca="false">IF(COUNTIFS($E$5:$E$604,E57,$G$5:$G$604,G57,$J$5:$J$604,"Booking.com")=0,"",_xlfn.MINIFS($M$5:$M$604,$E$5:$E$604,E57,$G$5:$G$604,G57,$J$5:$J$604,"Booking.com"))</f>
        <v>771.092258748675</v>
      </c>
      <c r="Z57" s="18" t="n">
        <f aca="false">IF(OR(Y57="",M57="",J57="Booking.com"),"",Y57-M57)</f>
        <v>-238.907741251326</v>
      </c>
      <c r="AA57" s="16"/>
      <c r="AB57" s="16"/>
      <c r="AC57" s="16"/>
      <c r="AD57" s="5"/>
    </row>
    <row r="58" customFormat="false" ht="15" hidden="false" customHeight="false" outlineLevel="0" collapsed="false">
      <c r="A58" s="15" t="n">
        <v>54</v>
      </c>
      <c r="B58" s="16" t="s">
        <v>141</v>
      </c>
      <c r="C58" s="17" t="n">
        <v>46379</v>
      </c>
      <c r="D58" s="16" t="n">
        <v>2</v>
      </c>
      <c r="E58" s="5" t="s">
        <v>142</v>
      </c>
      <c r="F58" s="16" t="n">
        <v>5</v>
      </c>
      <c r="G58" s="5" t="s">
        <v>147</v>
      </c>
      <c r="H58" s="16" t="s">
        <v>104</v>
      </c>
      <c r="I58" s="16" t="n">
        <v>1</v>
      </c>
      <c r="J58" s="16" t="s">
        <v>148</v>
      </c>
      <c r="K58" s="16" t="s">
        <v>13</v>
      </c>
      <c r="L58" s="10" t="n">
        <v>548.55</v>
      </c>
      <c r="M58" s="18" t="n">
        <f aca="false">IF(L58="","",IFERROR(L58*INDEX(Trip!$E$5:$E$14,MATCH(K58,Trip!$D$5:$D$14,0))/INDEX(Trip!$E$5:$E$14,MATCH(Trip!$B$10,Trip!$D$5:$D$14,0)),""))</f>
        <v>548.55</v>
      </c>
      <c r="N58" s="18" t="n">
        <f aca="false">IF(OR(M58="",D58=""),"",M58/D58)</f>
        <v>274.275</v>
      </c>
      <c r="O58" s="18" t="n">
        <f aca="false">IF(M58="","",M58*I58)</f>
        <v>548.55</v>
      </c>
      <c r="P58" s="17" t="n">
        <v>46346</v>
      </c>
      <c r="Q58" s="19" t="n">
        <f aca="true">IF(ISNUMBER(P58),P58-TODAY(),IF(P58="","",P58))</f>
        <v>44</v>
      </c>
      <c r="R58" s="16" t="s">
        <v>90</v>
      </c>
      <c r="S58" s="16"/>
      <c r="T58" s="16"/>
      <c r="U58" s="20" t="n">
        <v>0.6206</v>
      </c>
      <c r="V58" s="18" t="n">
        <f aca="false">IF(M58="","",M58*(1+IF(U58="",Trip!$B$11,U58)))</f>
        <v>888.98013</v>
      </c>
      <c r="W58" s="18" t="n">
        <f aca="false">IF(V58="","",V58*I58)</f>
        <v>888.98013</v>
      </c>
      <c r="X58" s="21" t="str">
        <f aca="false">IF(OR(M58="",R58="Unavailable"),"",IF(M58=_xlfn.MINIFS($M$5:$M$604,$E$5:$E$604,E58,$G$5:$G$604,G58,$H$5:$H$604,H58,$R$5:$R$604,"&lt;&gt;Unavailable"),"⭐ Cheapest",""))</f>
        <v>⭐ Cheapest</v>
      </c>
      <c r="Y58" s="18" t="str">
        <f aca="false">IF(COUNTIFS($E$5:$E$604,E58,$G$5:$G$604,G58,$J$5:$J$604,"Booking.com")=0,"",_xlfn.MINIFS($M$5:$M$604,$E$5:$E$604,E58,$G$5:$G$604,G58,$J$5:$J$604,"Booking.com"))</f>
        <v/>
      </c>
      <c r="Z58" s="18" t="str">
        <f aca="false">IF(OR(Y58="",M58="",J58="Booking.com"),"",Y58-M58)</f>
        <v/>
      </c>
      <c r="AA58" s="16"/>
      <c r="AB58" s="16" t="s">
        <v>92</v>
      </c>
      <c r="AC58" s="16"/>
      <c r="AD58" s="5" t="s">
        <v>149</v>
      </c>
    </row>
    <row r="59" customFormat="false" ht="15" hidden="false" customHeight="false" outlineLevel="0" collapsed="false">
      <c r="A59" s="15" t="n">
        <v>55</v>
      </c>
      <c r="B59" s="16" t="s">
        <v>141</v>
      </c>
      <c r="C59" s="17" t="n">
        <v>46379</v>
      </c>
      <c r="D59" s="16" t="n">
        <v>2</v>
      </c>
      <c r="E59" s="5" t="s">
        <v>142</v>
      </c>
      <c r="F59" s="16" t="n">
        <v>5</v>
      </c>
      <c r="G59" s="5" t="s">
        <v>150</v>
      </c>
      <c r="H59" s="16" t="s">
        <v>104</v>
      </c>
      <c r="I59" s="16" t="n">
        <v>1</v>
      </c>
      <c r="J59" s="16" t="s">
        <v>148</v>
      </c>
      <c r="K59" s="16" t="s">
        <v>13</v>
      </c>
      <c r="L59" s="10" t="n">
        <v>550</v>
      </c>
      <c r="M59" s="18" t="n">
        <f aca="false">IF(L59="","",IFERROR(L59*INDEX(Trip!$E$5:$E$14,MATCH(K59,Trip!$D$5:$D$14,0))/INDEX(Trip!$E$5:$E$14,MATCH(Trip!$B$10,Trip!$D$5:$D$14,0)),""))</f>
        <v>550</v>
      </c>
      <c r="N59" s="18" t="n">
        <f aca="false">IF(OR(M59="",D59=""),"",M59/D59)</f>
        <v>275</v>
      </c>
      <c r="O59" s="18" t="n">
        <f aca="false">IF(M59="","",M59*I59)</f>
        <v>550</v>
      </c>
      <c r="P59" s="17" t="n">
        <v>46346</v>
      </c>
      <c r="Q59" s="19" t="n">
        <f aca="true">IF(ISNUMBER(P59),P59-TODAY(),IF(P59="","",P59))</f>
        <v>44</v>
      </c>
      <c r="R59" s="16" t="s">
        <v>90</v>
      </c>
      <c r="S59" s="16"/>
      <c r="T59" s="16"/>
      <c r="U59" s="20" t="n">
        <v>0.6164</v>
      </c>
      <c r="V59" s="18" t="n">
        <f aca="false">IF(M59="","",M59*(1+IF(U59="",Trip!$B$11,U59)))</f>
        <v>889.02</v>
      </c>
      <c r="W59" s="18" t="n">
        <f aca="false">IF(V59="","",V59*I59)</f>
        <v>889.02</v>
      </c>
      <c r="X59" s="21" t="str">
        <f aca="false">IF(OR(M59="",R59="Unavailable"),"",IF(M59=_xlfn.MINIFS($M$5:$M$604,$E$5:$E$604,E59,$G$5:$G$604,G59,$H$5:$H$604,H59,$R$5:$R$604,"&lt;&gt;Unavailable"),"⭐ Cheapest",""))</f>
        <v>⭐ Cheapest</v>
      </c>
      <c r="Y59" s="18" t="str">
        <f aca="false">IF(COUNTIFS($E$5:$E$604,E59,$G$5:$G$604,G59,$J$5:$J$604,"Booking.com")=0,"",_xlfn.MINIFS($M$5:$M$604,$E$5:$E$604,E59,$G$5:$G$604,G59,$J$5:$J$604,"Booking.com"))</f>
        <v/>
      </c>
      <c r="Z59" s="18" t="str">
        <f aca="false">IF(OR(Y59="",M59="",J59="Booking.com"),"",Y59-M59)</f>
        <v/>
      </c>
      <c r="AA59" s="16" t="s">
        <v>92</v>
      </c>
      <c r="AB59" s="16"/>
      <c r="AC59" s="16"/>
      <c r="AD59" s="5" t="s">
        <v>151</v>
      </c>
    </row>
    <row r="60" customFormat="false" ht="15" hidden="false" customHeight="false" outlineLevel="0" collapsed="false">
      <c r="A60" s="15" t="n">
        <v>56</v>
      </c>
      <c r="B60" s="16" t="s">
        <v>141</v>
      </c>
      <c r="C60" s="17" t="n">
        <v>46379</v>
      </c>
      <c r="D60" s="16" t="n">
        <v>2</v>
      </c>
      <c r="E60" s="5" t="s">
        <v>142</v>
      </c>
      <c r="F60" s="16" t="n">
        <v>5</v>
      </c>
      <c r="G60" s="5" t="s">
        <v>152</v>
      </c>
      <c r="H60" s="16" t="s">
        <v>104</v>
      </c>
      <c r="I60" s="16" t="n">
        <v>1</v>
      </c>
      <c r="J60" s="16" t="s">
        <v>148</v>
      </c>
      <c r="K60" s="16" t="s">
        <v>13</v>
      </c>
      <c r="L60" s="10" t="n">
        <v>859.05</v>
      </c>
      <c r="M60" s="18" t="n">
        <f aca="false">IF(L60="","",IFERROR(L60*INDEX(Trip!$E$5:$E$14,MATCH(K60,Trip!$D$5:$D$14,0))/INDEX(Trip!$E$5:$E$14,MATCH(Trip!$B$10,Trip!$D$5:$D$14,0)),""))</f>
        <v>859.05</v>
      </c>
      <c r="N60" s="18" t="n">
        <f aca="false">IF(OR(M60="",D60=""),"",M60/D60)</f>
        <v>429.525</v>
      </c>
      <c r="O60" s="18" t="n">
        <f aca="false">IF(M60="","",M60*I60)</f>
        <v>859.05</v>
      </c>
      <c r="P60" s="17" t="n">
        <v>46346</v>
      </c>
      <c r="Q60" s="19" t="n">
        <f aca="true">IF(ISNUMBER(P60),P60-TODAY(),IF(P60="","",P60))</f>
        <v>44</v>
      </c>
      <c r="R60" s="16" t="s">
        <v>90</v>
      </c>
      <c r="S60" s="16"/>
      <c r="T60" s="16"/>
      <c r="U60" s="20" t="n">
        <v>0.2747</v>
      </c>
      <c r="V60" s="18" t="n">
        <f aca="false">IF(M60="","",M60*(1+IF(U60="",Trip!$B$11,U60)))</f>
        <v>1095.031035</v>
      </c>
      <c r="W60" s="18" t="n">
        <f aca="false">IF(V60="","",V60*I60)</f>
        <v>1095.031035</v>
      </c>
      <c r="X60" s="21" t="str">
        <f aca="false">IF(OR(M60="",R60="Unavailable"),"",IF(M60=_xlfn.MINIFS($M$5:$M$604,$E$5:$E$604,E60,$G$5:$G$604,G60,$H$5:$H$604,H60,$R$5:$R$604,"&lt;&gt;Unavailable"),"⭐ Cheapest",""))</f>
        <v>⭐ Cheapest</v>
      </c>
      <c r="Y60" s="18" t="str">
        <f aca="false">IF(COUNTIFS($E$5:$E$604,E60,$G$5:$G$604,G60,$J$5:$J$604,"Booking.com")=0,"",_xlfn.MINIFS($M$5:$M$604,$E$5:$E$604,E60,$G$5:$G$604,G60,$J$5:$J$604,"Booking.com"))</f>
        <v/>
      </c>
      <c r="Z60" s="18" t="str">
        <f aca="false">IF(OR(Y60="",M60="",J60="Booking.com"),"",Y60-M60)</f>
        <v/>
      </c>
      <c r="AA60" s="16"/>
      <c r="AB60" s="16"/>
      <c r="AC60" s="16" t="s">
        <v>92</v>
      </c>
      <c r="AD60" s="5" t="s">
        <v>151</v>
      </c>
    </row>
    <row r="61" customFormat="false" ht="23.85" hidden="false" customHeight="false" outlineLevel="0" collapsed="false">
      <c r="A61" s="15" t="n">
        <v>57</v>
      </c>
      <c r="B61" s="16" t="s">
        <v>141</v>
      </c>
      <c r="C61" s="17" t="n">
        <v>46379</v>
      </c>
      <c r="D61" s="16" t="n">
        <v>2</v>
      </c>
      <c r="E61" s="5" t="s">
        <v>142</v>
      </c>
      <c r="F61" s="16" t="n">
        <v>5</v>
      </c>
      <c r="G61" s="5" t="s">
        <v>144</v>
      </c>
      <c r="H61" s="16" t="s">
        <v>153</v>
      </c>
      <c r="I61" s="16" t="n">
        <v>1</v>
      </c>
      <c r="J61" s="16" t="s">
        <v>148</v>
      </c>
      <c r="K61" s="16" t="s">
        <v>13</v>
      </c>
      <c r="L61" s="10" t="n">
        <v>1000</v>
      </c>
      <c r="M61" s="18" t="n">
        <f aca="false">IF(L61="","",IFERROR(L61*INDEX(Trip!$E$5:$E$14,MATCH(K61,Trip!$D$5:$D$14,0))/INDEX(Trip!$E$5:$E$14,MATCH(Trip!$B$10,Trip!$D$5:$D$14,0)),""))</f>
        <v>1000</v>
      </c>
      <c r="N61" s="18" t="n">
        <f aca="false">IF(OR(M61="",D61=""),"",M61/D61)</f>
        <v>500</v>
      </c>
      <c r="O61" s="18" t="n">
        <f aca="false">IF(M61="","",M61*I61)</f>
        <v>1000</v>
      </c>
      <c r="P61" s="17"/>
      <c r="Q61" s="19" t="str">
        <f aca="true">IF(ISNUMBER(P61),P61-TODAY(),IF(P61="","",P61))</f>
        <v/>
      </c>
      <c r="R61" s="16" t="s">
        <v>77</v>
      </c>
      <c r="S61" s="16"/>
      <c r="T61" s="16"/>
      <c r="U61" s="20"/>
      <c r="V61" s="18" t="n">
        <f aca="false">IF(M61="","",M61*(1+IF(U61="",Trip!$B$11,U61)))</f>
        <v>1150</v>
      </c>
      <c r="W61" s="18" t="n">
        <f aca="false">IF(V61="","",V61*I61)</f>
        <v>1150</v>
      </c>
      <c r="X61" s="21" t="str">
        <f aca="false">IF(OR(M61="",R61="Unavailable"),"",IF(M61=_xlfn.MINIFS($M$5:$M$604,$E$5:$E$604,E61,$G$5:$G$604,G61,$H$5:$H$604,H61,$R$5:$R$604,"&lt;&gt;Unavailable"),"⭐ Cheapest",""))</f>
        <v>⭐ Cheapest</v>
      </c>
      <c r="Y61" s="18" t="n">
        <f aca="false">IF(COUNTIFS($E$5:$E$604,E61,$G$5:$G$604,G61,$J$5:$J$604,"Booking.com")=0,"",_xlfn.MINIFS($M$5:$M$604,$E$5:$E$604,E61,$G$5:$G$604,G61,$J$5:$J$604,"Booking.com"))</f>
        <v>771.092258748675</v>
      </c>
      <c r="Z61" s="18" t="n">
        <f aca="false">IF(OR(Y61="",M61="",J61="Booking.com"),"",Y61-M61)</f>
        <v>-228.907741251326</v>
      </c>
      <c r="AA61" s="16"/>
      <c r="AB61" s="16"/>
      <c r="AC61" s="16"/>
      <c r="AD61" s="5"/>
    </row>
    <row r="62" customFormat="false" ht="15" hidden="false" customHeight="false" outlineLevel="0" collapsed="false">
      <c r="A62" s="15" t="n">
        <v>58</v>
      </c>
      <c r="B62" s="16" t="s">
        <v>141</v>
      </c>
      <c r="C62" s="17" t="n">
        <v>46379</v>
      </c>
      <c r="D62" s="16" t="n">
        <v>2</v>
      </c>
      <c r="E62" s="5" t="s">
        <v>142</v>
      </c>
      <c r="F62" s="16" t="n">
        <v>5</v>
      </c>
      <c r="G62" s="5" t="s">
        <v>154</v>
      </c>
      <c r="H62" s="16" t="s">
        <v>104</v>
      </c>
      <c r="I62" s="16" t="n">
        <v>1</v>
      </c>
      <c r="J62" s="16" t="s">
        <v>148</v>
      </c>
      <c r="K62" s="16" t="s">
        <v>13</v>
      </c>
      <c r="L62" s="10" t="n">
        <v>838.35</v>
      </c>
      <c r="M62" s="18" t="n">
        <f aca="false">IF(L62="","",IFERROR(L62*INDEX(Trip!$E$5:$E$14,MATCH(K62,Trip!$D$5:$D$14,0))/INDEX(Trip!$E$5:$E$14,MATCH(Trip!$B$10,Trip!$D$5:$D$14,0)),""))</f>
        <v>838.35</v>
      </c>
      <c r="N62" s="18" t="n">
        <f aca="false">IF(OR(M62="",D62=""),"",M62/D62)</f>
        <v>419.175</v>
      </c>
      <c r="O62" s="18" t="n">
        <f aca="false">IF(M62="","",M62*I62)</f>
        <v>838.35</v>
      </c>
      <c r="P62" s="17"/>
      <c r="Q62" s="19" t="str">
        <f aca="true">IF(ISNUMBER(P62),P62-TODAY(),IF(P62="","",P62))</f>
        <v/>
      </c>
      <c r="R62" s="16" t="s">
        <v>77</v>
      </c>
      <c r="S62" s="16"/>
      <c r="T62" s="16"/>
      <c r="U62" s="20"/>
      <c r="V62" s="18" t="n">
        <f aca="false">IF(M62="","",M62*(1+IF(U62="",Trip!$B$11,U62)))</f>
        <v>964.1025</v>
      </c>
      <c r="W62" s="18" t="n">
        <f aca="false">IF(V62="","",V62*I62)</f>
        <v>964.1025</v>
      </c>
      <c r="X62" s="21" t="str">
        <f aca="false">IF(OR(M62="",R62="Unavailable"),"",IF(M62=_xlfn.MINIFS($M$5:$M$604,$E$5:$E$604,E62,$G$5:$G$604,G62,$H$5:$H$604,H62,$R$5:$R$604,"&lt;&gt;Unavailable"),"⭐ Cheapest",""))</f>
        <v>⭐ Cheapest</v>
      </c>
      <c r="Y62" s="18" t="str">
        <f aca="false">IF(COUNTIFS($E$5:$E$604,E62,$G$5:$G$604,G62,$J$5:$J$604,"Booking.com")=0,"",_xlfn.MINIFS($M$5:$M$604,$E$5:$E$604,E62,$G$5:$G$604,G62,$J$5:$J$604,"Booking.com"))</f>
        <v/>
      </c>
      <c r="Z62" s="18" t="str">
        <f aca="false">IF(OR(Y62="",M62="",J62="Booking.com"),"",Y62-M62)</f>
        <v/>
      </c>
      <c r="AA62" s="16"/>
      <c r="AB62" s="16"/>
      <c r="AC62" s="16"/>
      <c r="AD62" s="5"/>
    </row>
    <row r="63" customFormat="false" ht="15" hidden="false" customHeight="false" outlineLevel="0" collapsed="false">
      <c r="A63" s="15" t="n">
        <v>59</v>
      </c>
      <c r="B63" s="16" t="s">
        <v>141</v>
      </c>
      <c r="C63" s="17" t="n">
        <v>46379</v>
      </c>
      <c r="D63" s="16" t="n">
        <v>2</v>
      </c>
      <c r="E63" s="5" t="s">
        <v>142</v>
      </c>
      <c r="F63" s="16" t="n">
        <v>5</v>
      </c>
      <c r="G63" s="5" t="s">
        <v>154</v>
      </c>
      <c r="H63" s="16" t="s">
        <v>104</v>
      </c>
      <c r="I63" s="16" t="n">
        <v>1</v>
      </c>
      <c r="J63" s="16" t="s">
        <v>111</v>
      </c>
      <c r="K63" s="16" t="s">
        <v>13</v>
      </c>
      <c r="L63" s="10" t="n">
        <v>1095</v>
      </c>
      <c r="M63" s="18" t="n">
        <f aca="false">IF(L63="","",IFERROR(L63*INDEX(Trip!$E$5:$E$14,MATCH(K63,Trip!$D$5:$D$14,0))/INDEX(Trip!$E$5:$E$14,MATCH(Trip!$B$10,Trip!$D$5:$D$14,0)),""))</f>
        <v>1095</v>
      </c>
      <c r="N63" s="18" t="n">
        <f aca="false">IF(OR(M63="",D63=""),"",M63/D63)</f>
        <v>547.5</v>
      </c>
      <c r="O63" s="18" t="n">
        <f aca="false">IF(M63="","",M63*I63)</f>
        <v>1095</v>
      </c>
      <c r="P63" s="17"/>
      <c r="Q63" s="19" t="str">
        <f aca="true">IF(ISNUMBER(P63),P63-TODAY(),IF(P63="","",P63))</f>
        <v/>
      </c>
      <c r="R63" s="16" t="s">
        <v>77</v>
      </c>
      <c r="S63" s="16"/>
      <c r="T63" s="16"/>
      <c r="U63" s="20"/>
      <c r="V63" s="18" t="n">
        <f aca="false">IF(M63="","",M63*(1+IF(U63="",Trip!$B$11,U63)))</f>
        <v>1259.25</v>
      </c>
      <c r="W63" s="18" t="n">
        <f aca="false">IF(V63="","",V63*I63)</f>
        <v>1259.25</v>
      </c>
      <c r="X63" s="21" t="str">
        <f aca="false">IF(OR(M63="",R63="Unavailable"),"",IF(M63=_xlfn.MINIFS($M$5:$M$604,$E$5:$E$604,E63,$G$5:$G$604,G63,$H$5:$H$604,H63,$R$5:$R$604,"&lt;&gt;Unavailable"),"⭐ Cheapest",""))</f>
        <v/>
      </c>
      <c r="Y63" s="18" t="str">
        <f aca="false">IF(COUNTIFS($E$5:$E$604,E63,$G$5:$G$604,G63,$J$5:$J$604,"Booking.com")=0,"",_xlfn.MINIFS($M$5:$M$604,$E$5:$E$604,E63,$G$5:$G$604,G63,$J$5:$J$604,"Booking.com"))</f>
        <v/>
      </c>
      <c r="Z63" s="18" t="str">
        <f aca="false">IF(OR(Y63="",M63="",J63="Booking.com"),"",Y63-M63)</f>
        <v/>
      </c>
      <c r="AA63" s="16"/>
      <c r="AB63" s="16"/>
      <c r="AC63" s="16"/>
      <c r="AD63" s="5"/>
    </row>
    <row r="64" customFormat="false" ht="15" hidden="false" customHeight="false" outlineLevel="0" collapsed="false">
      <c r="A64" s="15" t="n">
        <v>60</v>
      </c>
      <c r="B64" s="16" t="s">
        <v>141</v>
      </c>
      <c r="C64" s="17" t="n">
        <v>46379</v>
      </c>
      <c r="D64" s="16" t="n">
        <v>2</v>
      </c>
      <c r="E64" s="5" t="s">
        <v>142</v>
      </c>
      <c r="F64" s="16" t="n">
        <v>5</v>
      </c>
      <c r="G64" s="5" t="s">
        <v>155</v>
      </c>
      <c r="H64" s="16" t="s">
        <v>104</v>
      </c>
      <c r="I64" s="16" t="n">
        <v>1</v>
      </c>
      <c r="J64" s="16" t="s">
        <v>148</v>
      </c>
      <c r="K64" s="16" t="s">
        <v>13</v>
      </c>
      <c r="L64" s="10" t="n">
        <v>859.05</v>
      </c>
      <c r="M64" s="18" t="n">
        <f aca="false">IF(L64="","",IFERROR(L64*INDEX(Trip!$E$5:$E$14,MATCH(K64,Trip!$D$5:$D$14,0))/INDEX(Trip!$E$5:$E$14,MATCH(Trip!$B$10,Trip!$D$5:$D$14,0)),""))</f>
        <v>859.05</v>
      </c>
      <c r="N64" s="18" t="n">
        <f aca="false">IF(OR(M64="",D64=""),"",M64/D64)</f>
        <v>429.525</v>
      </c>
      <c r="O64" s="18" t="n">
        <f aca="false">IF(M64="","",M64*I64)</f>
        <v>859.05</v>
      </c>
      <c r="P64" s="17"/>
      <c r="Q64" s="19" t="str">
        <f aca="true">IF(ISNUMBER(P64),P64-TODAY(),IF(P64="","",P64))</f>
        <v/>
      </c>
      <c r="R64" s="16" t="s">
        <v>77</v>
      </c>
      <c r="S64" s="16"/>
      <c r="T64" s="16"/>
      <c r="U64" s="20"/>
      <c r="V64" s="18" t="n">
        <f aca="false">IF(M64="","",M64*(1+IF(U64="",Trip!$B$11,U64)))</f>
        <v>987.9075</v>
      </c>
      <c r="W64" s="18" t="n">
        <f aca="false">IF(V64="","",V64*I64)</f>
        <v>987.9075</v>
      </c>
      <c r="X64" s="21" t="str">
        <f aca="false">IF(OR(M64="",R64="Unavailable"),"",IF(M64=_xlfn.MINIFS($M$5:$M$604,$E$5:$E$604,E64,$G$5:$G$604,G64,$H$5:$H$604,H64,$R$5:$R$604,"&lt;&gt;Unavailable"),"⭐ Cheapest",""))</f>
        <v>⭐ Cheapest</v>
      </c>
      <c r="Y64" s="18" t="str">
        <f aca="false">IF(COUNTIFS($E$5:$E$604,E64,$G$5:$G$604,G64,$J$5:$J$604,"Booking.com")=0,"",_xlfn.MINIFS($M$5:$M$604,$E$5:$E$604,E64,$G$5:$G$604,G64,$J$5:$J$604,"Booking.com"))</f>
        <v/>
      </c>
      <c r="Z64" s="18" t="str">
        <f aca="false">IF(OR(Y64="",M64="",J64="Booking.com"),"",Y64-M64)</f>
        <v/>
      </c>
      <c r="AA64" s="16"/>
      <c r="AB64" s="16"/>
      <c r="AC64" s="16"/>
      <c r="AD64" s="5"/>
    </row>
    <row r="65" customFormat="false" ht="15" hidden="false" customHeight="false" outlineLevel="0" collapsed="false">
      <c r="A65" s="15" t="n">
        <v>61</v>
      </c>
      <c r="B65" s="16" t="s">
        <v>141</v>
      </c>
      <c r="C65" s="17" t="n">
        <v>46379</v>
      </c>
      <c r="D65" s="16" t="n">
        <v>2</v>
      </c>
      <c r="E65" s="5" t="s">
        <v>142</v>
      </c>
      <c r="F65" s="16" t="n">
        <v>5</v>
      </c>
      <c r="G65" s="5" t="s">
        <v>155</v>
      </c>
      <c r="H65" s="16" t="s">
        <v>104</v>
      </c>
      <c r="I65" s="16" t="n">
        <v>1</v>
      </c>
      <c r="J65" s="16" t="s">
        <v>111</v>
      </c>
      <c r="K65" s="16" t="s">
        <v>13</v>
      </c>
      <c r="L65" s="10" t="n">
        <v>1095</v>
      </c>
      <c r="M65" s="18" t="n">
        <f aca="false">IF(L65="","",IFERROR(L65*INDEX(Trip!$E$5:$E$14,MATCH(K65,Trip!$D$5:$D$14,0))/INDEX(Trip!$E$5:$E$14,MATCH(Trip!$B$10,Trip!$D$5:$D$14,0)),""))</f>
        <v>1095</v>
      </c>
      <c r="N65" s="18" t="n">
        <f aca="false">IF(OR(M65="",D65=""),"",M65/D65)</f>
        <v>547.5</v>
      </c>
      <c r="O65" s="18" t="n">
        <f aca="false">IF(M65="","",M65*I65)</f>
        <v>1095</v>
      </c>
      <c r="P65" s="17"/>
      <c r="Q65" s="19" t="str">
        <f aca="true">IF(ISNUMBER(P65),P65-TODAY(),IF(P65="","",P65))</f>
        <v/>
      </c>
      <c r="R65" s="16" t="s">
        <v>77</v>
      </c>
      <c r="S65" s="16"/>
      <c r="T65" s="16"/>
      <c r="U65" s="20"/>
      <c r="V65" s="18" t="n">
        <f aca="false">IF(M65="","",M65*(1+IF(U65="",Trip!$B$11,U65)))</f>
        <v>1259.25</v>
      </c>
      <c r="W65" s="18" t="n">
        <f aca="false">IF(V65="","",V65*I65)</f>
        <v>1259.25</v>
      </c>
      <c r="X65" s="21" t="str">
        <f aca="false">IF(OR(M65="",R65="Unavailable"),"",IF(M65=_xlfn.MINIFS($M$5:$M$604,$E$5:$E$604,E65,$G$5:$G$604,G65,$H$5:$H$604,H65,$R$5:$R$604,"&lt;&gt;Unavailable"),"⭐ Cheapest",""))</f>
        <v/>
      </c>
      <c r="Y65" s="18" t="str">
        <f aca="false">IF(COUNTIFS($E$5:$E$604,E65,$G$5:$G$604,G65,$J$5:$J$604,"Booking.com")=0,"",_xlfn.MINIFS($M$5:$M$604,$E$5:$E$604,E65,$G$5:$G$604,G65,$J$5:$J$604,"Booking.com"))</f>
        <v/>
      </c>
      <c r="Z65" s="18" t="str">
        <f aca="false">IF(OR(Y65="",M65="",J65="Booking.com"),"",Y65-M65)</f>
        <v/>
      </c>
      <c r="AA65" s="16"/>
      <c r="AB65" s="16"/>
      <c r="AC65" s="16"/>
      <c r="AD65" s="5"/>
    </row>
    <row r="66" customFormat="false" ht="23.85" hidden="false" customHeight="false" outlineLevel="0" collapsed="false">
      <c r="A66" s="15" t="n">
        <v>62</v>
      </c>
      <c r="B66" s="16" t="s">
        <v>141</v>
      </c>
      <c r="C66" s="17" t="n">
        <v>46379</v>
      </c>
      <c r="D66" s="16" t="n">
        <v>2</v>
      </c>
      <c r="E66" s="5" t="s">
        <v>142</v>
      </c>
      <c r="F66" s="16" t="n">
        <v>5</v>
      </c>
      <c r="G66" s="5" t="s">
        <v>156</v>
      </c>
      <c r="H66" s="16" t="s">
        <v>104</v>
      </c>
      <c r="I66" s="16" t="n">
        <v>1</v>
      </c>
      <c r="J66" s="16" t="s">
        <v>148</v>
      </c>
      <c r="K66" s="16" t="s">
        <v>13</v>
      </c>
      <c r="L66" s="10" t="n">
        <v>724.5</v>
      </c>
      <c r="M66" s="18" t="n">
        <f aca="false">IF(L66="","",IFERROR(L66*INDEX(Trip!$E$5:$E$14,MATCH(K66,Trip!$D$5:$D$14,0))/INDEX(Trip!$E$5:$E$14,MATCH(Trip!$B$10,Trip!$D$5:$D$14,0)),""))</f>
        <v>724.5</v>
      </c>
      <c r="N66" s="18" t="n">
        <f aca="false">IF(OR(M66="",D66=""),"",M66/D66)</f>
        <v>362.25</v>
      </c>
      <c r="O66" s="18" t="n">
        <f aca="false">IF(M66="","",M66*I66)</f>
        <v>724.5</v>
      </c>
      <c r="P66" s="17"/>
      <c r="Q66" s="19" t="str">
        <f aca="true">IF(ISNUMBER(P66),P66-TODAY(),IF(P66="","",P66))</f>
        <v/>
      </c>
      <c r="R66" s="16" t="s">
        <v>77</v>
      </c>
      <c r="S66" s="16" t="n">
        <f aca="false">1095*2</f>
        <v>2190</v>
      </c>
      <c r="T66" s="16"/>
      <c r="U66" s="20"/>
      <c r="V66" s="18" t="n">
        <f aca="false">IF(M66="","",M66*(1+IF(U66="",Trip!$B$11,U66)))</f>
        <v>833.175</v>
      </c>
      <c r="W66" s="18" t="n">
        <f aca="false">IF(V66="","",V66*I66)</f>
        <v>833.175</v>
      </c>
      <c r="X66" s="21" t="str">
        <f aca="false">IF(OR(M66="",R66="Unavailable"),"",IF(M66=_xlfn.MINIFS($M$5:$M$604,$E$5:$E$604,E66,$G$5:$G$604,G66,$H$5:$H$604,H66,$R$5:$R$604,"&lt;&gt;Unavailable"),"⭐ Cheapest",""))</f>
        <v>⭐ Cheapest</v>
      </c>
      <c r="Y66" s="18" t="str">
        <f aca="false">IF(COUNTIFS($E$5:$E$604,E66,$G$5:$G$604,G66,$J$5:$J$604,"Booking.com")=0,"",_xlfn.MINIFS($M$5:$M$604,$E$5:$E$604,E66,$G$5:$G$604,G66,$J$5:$J$604,"Booking.com"))</f>
        <v/>
      </c>
      <c r="Z66" s="18" t="str">
        <f aca="false">IF(OR(Y66="",M66="",J66="Booking.com"),"",Y66-M66)</f>
        <v/>
      </c>
      <c r="AA66" s="16"/>
      <c r="AB66" s="16"/>
      <c r="AC66" s="16"/>
      <c r="AD66" s="5"/>
    </row>
    <row r="67" customFormat="false" ht="23.85" hidden="false" customHeight="false" outlineLevel="0" collapsed="false">
      <c r="A67" s="15" t="n">
        <v>63</v>
      </c>
      <c r="B67" s="16" t="s">
        <v>141</v>
      </c>
      <c r="C67" s="17" t="n">
        <v>46379</v>
      </c>
      <c r="D67" s="16" t="n">
        <v>2</v>
      </c>
      <c r="E67" s="5" t="s">
        <v>142</v>
      </c>
      <c r="F67" s="16" t="n">
        <v>5</v>
      </c>
      <c r="G67" s="5" t="s">
        <v>156</v>
      </c>
      <c r="H67" s="16" t="s">
        <v>104</v>
      </c>
      <c r="I67" s="16" t="n">
        <v>1</v>
      </c>
      <c r="J67" s="16" t="s">
        <v>111</v>
      </c>
      <c r="K67" s="16" t="s">
        <v>13</v>
      </c>
      <c r="L67" s="10" t="n">
        <v>1007</v>
      </c>
      <c r="M67" s="18" t="n">
        <f aca="false">IF(L67="","",IFERROR(L67*INDEX(Trip!$E$5:$E$14,MATCH(K67,Trip!$D$5:$D$14,0))/INDEX(Trip!$E$5:$E$14,MATCH(Trip!$B$10,Trip!$D$5:$D$14,0)),""))</f>
        <v>1007</v>
      </c>
      <c r="N67" s="18" t="n">
        <f aca="false">IF(OR(M67="",D67=""),"",M67/D67)</f>
        <v>503.5</v>
      </c>
      <c r="O67" s="18" t="n">
        <f aca="false">IF(M67="","",M67*I67)</f>
        <v>1007</v>
      </c>
      <c r="P67" s="17"/>
      <c r="Q67" s="19" t="str">
        <f aca="true">IF(ISNUMBER(P67),P67-TODAY(),IF(P67="","",P67))</f>
        <v/>
      </c>
      <c r="R67" s="16" t="s">
        <v>77</v>
      </c>
      <c r="S67" s="16"/>
      <c r="T67" s="16"/>
      <c r="U67" s="20"/>
      <c r="V67" s="18" t="n">
        <f aca="false">IF(M67="","",M67*(1+IF(U67="",Trip!$B$11,U67)))</f>
        <v>1158.05</v>
      </c>
      <c r="W67" s="18" t="n">
        <f aca="false">IF(V67="","",V67*I67)</f>
        <v>1158.05</v>
      </c>
      <c r="X67" s="21" t="str">
        <f aca="false">IF(OR(M67="",R67="Unavailable"),"",IF(M67=_xlfn.MINIFS($M$5:$M$604,$E$5:$E$604,E67,$G$5:$G$604,G67,$H$5:$H$604,H67,$R$5:$R$604,"&lt;&gt;Unavailable"),"⭐ Cheapest",""))</f>
        <v/>
      </c>
      <c r="Y67" s="18" t="str">
        <f aca="false">IF(COUNTIFS($E$5:$E$604,E67,$G$5:$G$604,G67,$J$5:$J$604,"Booking.com")=0,"",_xlfn.MINIFS($M$5:$M$604,$E$5:$E$604,E67,$G$5:$G$604,G67,$J$5:$J$604,"Booking.com"))</f>
        <v/>
      </c>
      <c r="Z67" s="18" t="str">
        <f aca="false">IF(OR(Y67="",M67="",J67="Booking.com"),"",Y67-M67)</f>
        <v/>
      </c>
      <c r="AA67" s="16"/>
      <c r="AB67" s="16"/>
      <c r="AC67" s="16"/>
      <c r="AD67" s="5"/>
    </row>
    <row r="68" customFormat="false" ht="23.85" hidden="false" customHeight="false" outlineLevel="0" collapsed="false">
      <c r="A68" s="15" t="n">
        <v>64</v>
      </c>
      <c r="B68" s="16" t="s">
        <v>141</v>
      </c>
      <c r="C68" s="17" t="n">
        <v>46379</v>
      </c>
      <c r="D68" s="16" t="n">
        <v>2</v>
      </c>
      <c r="E68" s="5" t="s">
        <v>142</v>
      </c>
      <c r="F68" s="16" t="n">
        <v>5</v>
      </c>
      <c r="G68" s="5" t="s">
        <v>157</v>
      </c>
      <c r="H68" s="16" t="s">
        <v>104</v>
      </c>
      <c r="I68" s="16" t="n">
        <v>1</v>
      </c>
      <c r="J68" s="16" t="s">
        <v>148</v>
      </c>
      <c r="K68" s="16" t="s">
        <v>13</v>
      </c>
      <c r="L68" s="10" t="n">
        <v>745.2</v>
      </c>
      <c r="M68" s="18" t="n">
        <f aca="false">IF(L68="","",IFERROR(L68*INDEX(Trip!$E$5:$E$14,MATCH(K68,Trip!$D$5:$D$14,0))/INDEX(Trip!$E$5:$E$14,MATCH(Trip!$B$10,Trip!$D$5:$D$14,0)),""))</f>
        <v>745.2</v>
      </c>
      <c r="N68" s="18" t="n">
        <f aca="false">IF(OR(M68="",D68=""),"",M68/D68)</f>
        <v>372.6</v>
      </c>
      <c r="O68" s="18" t="n">
        <f aca="false">IF(M68="","",M68*I68)</f>
        <v>745.2</v>
      </c>
      <c r="P68" s="17"/>
      <c r="Q68" s="19" t="str">
        <f aca="true">IF(ISNUMBER(P68),P68-TODAY(),IF(P68="","",P68))</f>
        <v/>
      </c>
      <c r="R68" s="16" t="s">
        <v>77</v>
      </c>
      <c r="S68" s="16"/>
      <c r="T68" s="16"/>
      <c r="U68" s="20"/>
      <c r="V68" s="18" t="n">
        <f aca="false">IF(M68="","",M68*(1+IF(U68="",Trip!$B$11,U68)))</f>
        <v>856.98</v>
      </c>
      <c r="W68" s="18" t="n">
        <f aca="false">IF(V68="","",V68*I68)</f>
        <v>856.98</v>
      </c>
      <c r="X68" s="21" t="str">
        <f aca="false">IF(OR(M68="",R68="Unavailable"),"",IF(M68=_xlfn.MINIFS($M$5:$M$604,$E$5:$E$604,E68,$G$5:$G$604,G68,$H$5:$H$604,H68,$R$5:$R$604,"&lt;&gt;Unavailable"),"⭐ Cheapest",""))</f>
        <v>⭐ Cheapest</v>
      </c>
      <c r="Y68" s="18" t="str">
        <f aca="false">IF(COUNTIFS($E$5:$E$604,E68,$G$5:$G$604,G68,$J$5:$J$604,"Booking.com")=0,"",_xlfn.MINIFS($M$5:$M$604,$E$5:$E$604,E68,$G$5:$G$604,G68,$J$5:$J$604,"Booking.com"))</f>
        <v/>
      </c>
      <c r="Z68" s="18" t="str">
        <f aca="false">IF(OR(Y68="",M68="",J68="Booking.com"),"",Y68-M68)</f>
        <v/>
      </c>
      <c r="AA68" s="16"/>
      <c r="AB68" s="16"/>
      <c r="AC68" s="16"/>
      <c r="AD68" s="5"/>
    </row>
    <row r="69" customFormat="false" ht="23.85" hidden="false" customHeight="false" outlineLevel="0" collapsed="false">
      <c r="A69" s="15" t="n">
        <v>65</v>
      </c>
      <c r="B69" s="16" t="s">
        <v>141</v>
      </c>
      <c r="C69" s="17" t="n">
        <v>46379</v>
      </c>
      <c r="D69" s="16" t="n">
        <v>2</v>
      </c>
      <c r="E69" s="5" t="s">
        <v>142</v>
      </c>
      <c r="F69" s="16" t="n">
        <v>5</v>
      </c>
      <c r="G69" s="5" t="s">
        <v>157</v>
      </c>
      <c r="H69" s="16" t="s">
        <v>104</v>
      </c>
      <c r="I69" s="16" t="n">
        <v>1</v>
      </c>
      <c r="J69" s="16" t="s">
        <v>111</v>
      </c>
      <c r="K69" s="16" t="s">
        <v>13</v>
      </c>
      <c r="L69" s="10" t="n">
        <v>1120</v>
      </c>
      <c r="M69" s="18" t="n">
        <f aca="false">IF(L69="","",IFERROR(L69*INDEX(Trip!$E$5:$E$14,MATCH(K69,Trip!$D$5:$D$14,0))/INDEX(Trip!$E$5:$E$14,MATCH(Trip!$B$10,Trip!$D$5:$D$14,0)),""))</f>
        <v>1120</v>
      </c>
      <c r="N69" s="18" t="n">
        <f aca="false">IF(OR(M69="",D69=""),"",M69/D69)</f>
        <v>560</v>
      </c>
      <c r="O69" s="18" t="n">
        <f aca="false">IF(M69="","",M69*I69)</f>
        <v>1120</v>
      </c>
      <c r="P69" s="17"/>
      <c r="Q69" s="19" t="str">
        <f aca="true">IF(ISNUMBER(P69),P69-TODAY(),IF(P69="","",P69))</f>
        <v/>
      </c>
      <c r="R69" s="16" t="s">
        <v>77</v>
      </c>
      <c r="S69" s="16"/>
      <c r="T69" s="16"/>
      <c r="U69" s="20"/>
      <c r="V69" s="18" t="n">
        <f aca="false">IF(M69="","",M69*(1+IF(U69="",Trip!$B$11,U69)))</f>
        <v>1288</v>
      </c>
      <c r="W69" s="18" t="n">
        <f aca="false">IF(V69="","",V69*I69)</f>
        <v>1288</v>
      </c>
      <c r="X69" s="21" t="str">
        <f aca="false">IF(OR(M69="",R69="Unavailable"),"",IF(M69=_xlfn.MINIFS($M$5:$M$604,$E$5:$E$604,E69,$G$5:$G$604,G69,$H$5:$H$604,H69,$R$5:$R$604,"&lt;&gt;Unavailable"),"⭐ Cheapest",""))</f>
        <v/>
      </c>
      <c r="Y69" s="18" t="str">
        <f aca="false">IF(COUNTIFS($E$5:$E$604,E69,$G$5:$G$604,G69,$J$5:$J$604,"Booking.com")=0,"",_xlfn.MINIFS($M$5:$M$604,$E$5:$E$604,E69,$G$5:$G$604,G69,$J$5:$J$604,"Booking.com"))</f>
        <v/>
      </c>
      <c r="Z69" s="18" t="str">
        <f aca="false">IF(OR(Y69="",M69="",J69="Booking.com"),"",Y69-M69)</f>
        <v/>
      </c>
      <c r="AA69" s="16"/>
      <c r="AB69" s="16"/>
      <c r="AC69" s="16"/>
      <c r="AD69" s="5"/>
    </row>
    <row r="70" customFormat="false" ht="15" hidden="false" customHeight="false" outlineLevel="0" collapsed="false">
      <c r="A70" s="15" t="n">
        <v>66</v>
      </c>
      <c r="B70" s="16" t="s">
        <v>141</v>
      </c>
      <c r="C70" s="17" t="n">
        <v>46379</v>
      </c>
      <c r="D70" s="16" t="n">
        <v>2</v>
      </c>
      <c r="E70" s="5" t="s">
        <v>158</v>
      </c>
      <c r="F70" s="16" t="n">
        <v>5</v>
      </c>
      <c r="G70" s="5" t="s">
        <v>159</v>
      </c>
      <c r="H70" s="16" t="s">
        <v>75</v>
      </c>
      <c r="I70" s="16" t="n">
        <v>1</v>
      </c>
      <c r="J70" s="16" t="s">
        <v>76</v>
      </c>
      <c r="K70" s="16" t="s">
        <v>10</v>
      </c>
      <c r="L70" s="10" t="n">
        <v>80648</v>
      </c>
      <c r="M70" s="18" t="n">
        <f aca="false">IF(L70="","",IFERROR(L70*INDEX(Trip!$E$5:$E$14,MATCH(K70,Trip!$D$5:$D$14,0))/INDEX(Trip!$E$5:$E$14,MATCH(Trip!$B$10,Trip!$D$5:$D$14,0)),""))</f>
        <v>855.227995758219</v>
      </c>
      <c r="N70" s="18" t="n">
        <f aca="false">IF(OR(M70="",D70=""),"",M70/D70)</f>
        <v>427.613997879109</v>
      </c>
      <c r="O70" s="18" t="n">
        <f aca="false">IF(M70="","",M70*I70)</f>
        <v>855.227995758219</v>
      </c>
      <c r="P70" s="17" t="n">
        <v>46355</v>
      </c>
      <c r="Q70" s="19" t="n">
        <f aca="true">IF(ISNUMBER(P70),P70-TODAY(),IF(P70="","",P70))</f>
        <v>53</v>
      </c>
      <c r="R70" s="16" t="s">
        <v>77</v>
      </c>
      <c r="S70" s="16"/>
      <c r="T70" s="16" t="s">
        <v>138</v>
      </c>
      <c r="U70" s="20"/>
      <c r="V70" s="18" t="n">
        <f aca="false">IF(M70="","",M70*(1+IF(U70="",Trip!$B$11,U70)))</f>
        <v>983.512195121951</v>
      </c>
      <c r="W70" s="18" t="n">
        <f aca="false">IF(V70="","",V70*I70)</f>
        <v>983.512195121951</v>
      </c>
      <c r="X70" s="21" t="str">
        <f aca="false">IF(OR(M70="",R70="Unavailable"),"",IF(M70=_xlfn.MINIFS($M$5:$M$604,$E$5:$E$604,E70,$G$5:$G$604,G70,$H$5:$H$604,H70,$R$5:$R$604,"&lt;&gt;Unavailable"),"⭐ Cheapest",""))</f>
        <v>⭐ Cheapest</v>
      </c>
      <c r="Y70" s="18" t="n">
        <f aca="false">IF(COUNTIFS($E$5:$E$604,E70,$G$5:$G$604,G70,$J$5:$J$604,"Booking.com")=0,"",_xlfn.MINIFS($M$5:$M$604,$E$5:$E$604,E70,$G$5:$G$604,G70,$J$5:$J$604,"Booking.com"))</f>
        <v>875.132555673383</v>
      </c>
      <c r="Z70" s="18" t="n">
        <f aca="false">IF(OR(Y70="",M70="",J70="Booking.com"),"",Y70-M70)</f>
        <v>19.9045599151643</v>
      </c>
      <c r="AA70" s="16"/>
      <c r="AB70" s="16"/>
      <c r="AC70" s="16"/>
      <c r="AD70" s="5"/>
    </row>
    <row r="71" customFormat="false" ht="15" hidden="false" customHeight="false" outlineLevel="0" collapsed="false">
      <c r="A71" s="15" t="n">
        <v>67</v>
      </c>
      <c r="B71" s="16" t="s">
        <v>141</v>
      </c>
      <c r="C71" s="17" t="n">
        <v>46379</v>
      </c>
      <c r="D71" s="16" t="n">
        <v>2</v>
      </c>
      <c r="E71" s="5" t="s">
        <v>158</v>
      </c>
      <c r="F71" s="16" t="n">
        <v>5</v>
      </c>
      <c r="G71" s="5" t="s">
        <v>159</v>
      </c>
      <c r="H71" s="16" t="s">
        <v>75</v>
      </c>
      <c r="I71" s="16" t="n">
        <v>1</v>
      </c>
      <c r="J71" s="16" t="s">
        <v>78</v>
      </c>
      <c r="K71" s="16" t="s">
        <v>10</v>
      </c>
      <c r="L71" s="10" t="n">
        <v>82525</v>
      </c>
      <c r="M71" s="18" t="n">
        <f aca="false">IF(L71="","",IFERROR(L71*INDEX(Trip!$E$5:$E$14,MATCH(K71,Trip!$D$5:$D$14,0))/INDEX(Trip!$E$5:$E$14,MATCH(Trip!$B$10,Trip!$D$5:$D$14,0)),""))</f>
        <v>875.132555673383</v>
      </c>
      <c r="N71" s="18" t="n">
        <f aca="false">IF(OR(M71="",D71=""),"",M71/D71)</f>
        <v>437.566277836691</v>
      </c>
      <c r="O71" s="18" t="n">
        <f aca="false">IF(M71="","",M71*I71)</f>
        <v>875.132555673383</v>
      </c>
      <c r="P71" s="17" t="n">
        <v>46371</v>
      </c>
      <c r="Q71" s="19" t="n">
        <f aca="true">IF(ISNUMBER(P71),P71-TODAY(),IF(P71="","",P71))</f>
        <v>69</v>
      </c>
      <c r="R71" s="16" t="s">
        <v>77</v>
      </c>
      <c r="S71" s="16"/>
      <c r="T71" s="16"/>
      <c r="U71" s="20"/>
      <c r="V71" s="18" t="n">
        <f aca="false">IF(M71="","",M71*(1+IF(U71="",Trip!$B$11,U71)))</f>
        <v>1006.40243902439</v>
      </c>
      <c r="W71" s="18" t="n">
        <f aca="false">IF(V71="","",V71*I71)</f>
        <v>1006.40243902439</v>
      </c>
      <c r="X71" s="21" t="str">
        <f aca="false">IF(OR(M71="",R71="Unavailable"),"",IF(M71=_xlfn.MINIFS($M$5:$M$604,$E$5:$E$604,E71,$G$5:$G$604,G71,$H$5:$H$604,H71,$R$5:$R$604,"&lt;&gt;Unavailable"),"⭐ Cheapest",""))</f>
        <v/>
      </c>
      <c r="Y71" s="18" t="n">
        <f aca="false">IF(COUNTIFS($E$5:$E$604,E71,$G$5:$G$604,G71,$J$5:$J$604,"Booking.com")=0,"",_xlfn.MINIFS($M$5:$M$604,$E$5:$E$604,E71,$G$5:$G$604,G71,$J$5:$J$604,"Booking.com"))</f>
        <v>875.132555673383</v>
      </c>
      <c r="Z71" s="18" t="str">
        <f aca="false">IF(OR(Y71="",M71="",J71="Booking.com"),"",Y71-M71)</f>
        <v/>
      </c>
      <c r="AA71" s="16"/>
      <c r="AB71" s="16"/>
      <c r="AC71" s="16"/>
      <c r="AD71" s="5"/>
    </row>
    <row r="72" customFormat="false" ht="35.05" hidden="false" customHeight="false" outlineLevel="0" collapsed="false">
      <c r="A72" s="15" t="n">
        <v>68</v>
      </c>
      <c r="B72" s="16" t="s">
        <v>141</v>
      </c>
      <c r="C72" s="17" t="n">
        <v>46379</v>
      </c>
      <c r="D72" s="16" t="n">
        <v>2</v>
      </c>
      <c r="E72" s="5" t="s">
        <v>160</v>
      </c>
      <c r="F72" s="16" t="n">
        <v>5</v>
      </c>
      <c r="G72" s="5" t="s">
        <v>161</v>
      </c>
      <c r="H72" s="16" t="s">
        <v>104</v>
      </c>
      <c r="I72" s="16" t="n">
        <v>1</v>
      </c>
      <c r="J72" s="16" t="s">
        <v>76</v>
      </c>
      <c r="K72" s="16" t="s">
        <v>10</v>
      </c>
      <c r="L72" s="10" t="n">
        <v>94994</v>
      </c>
      <c r="M72" s="18" t="n">
        <f aca="false">IF(L72="","",IFERROR(L72*INDEX(Trip!$E$5:$E$14,MATCH(K72,Trip!$D$5:$D$14,0))/INDEX(Trip!$E$5:$E$14,MATCH(Trip!$B$10,Trip!$D$5:$D$14,0)),""))</f>
        <v>1007.35949098621</v>
      </c>
      <c r="N72" s="18" t="n">
        <f aca="false">IF(OR(M72="",D72=""),"",M72/D72)</f>
        <v>503.679745493107</v>
      </c>
      <c r="O72" s="18" t="n">
        <f aca="false">IF(M72="","",M72*I72)</f>
        <v>1007.35949098621</v>
      </c>
      <c r="P72" s="17" t="n">
        <v>46372</v>
      </c>
      <c r="Q72" s="19" t="n">
        <f aca="true">IF(ISNUMBER(P72),P72-TODAY(),IF(P72="","",P72))</f>
        <v>70</v>
      </c>
      <c r="R72" s="16" t="s">
        <v>77</v>
      </c>
      <c r="S72" s="16"/>
      <c r="T72" s="16" t="s">
        <v>106</v>
      </c>
      <c r="U72" s="20"/>
      <c r="V72" s="18" t="n">
        <f aca="false">IF(M72="","",M72*(1+IF(U72="",Trip!$B$11,U72)))</f>
        <v>1158.46341463415</v>
      </c>
      <c r="W72" s="18" t="n">
        <f aca="false">IF(V72="","",V72*I72)</f>
        <v>1158.46341463415</v>
      </c>
      <c r="X72" s="21" t="str">
        <f aca="false">IF(OR(M72="",R72="Unavailable"),"",IF(M72=_xlfn.MINIFS($M$5:$M$604,$E$5:$E$604,E72,$G$5:$G$604,G72,$H$5:$H$604,H72,$R$5:$R$604,"&lt;&gt;Unavailable"),"⭐ Cheapest",""))</f>
        <v>⭐ Cheapest</v>
      </c>
      <c r="Y72" s="18" t="n">
        <f aca="false">IF(COUNTIFS($E$5:$E$604,E72,$G$5:$G$604,G72,$J$5:$J$604,"Booking.com")=0,"",_xlfn.MINIFS($M$5:$M$604,$E$5:$E$604,E72,$G$5:$G$604,G72,$J$5:$J$604,"Booking.com"))</f>
        <v>1126.58536585366</v>
      </c>
      <c r="Z72" s="18" t="n">
        <f aca="false">IF(OR(Y72="",M72="",J72="Booking.com"),"",Y72-M72)</f>
        <v>119.225874867444</v>
      </c>
      <c r="AA72" s="16"/>
      <c r="AB72" s="16"/>
      <c r="AC72" s="16"/>
      <c r="AD72" s="5"/>
    </row>
    <row r="73" customFormat="false" ht="35.05" hidden="false" customHeight="false" outlineLevel="0" collapsed="false">
      <c r="A73" s="15" t="n">
        <v>69</v>
      </c>
      <c r="B73" s="16" t="s">
        <v>141</v>
      </c>
      <c r="C73" s="17" t="n">
        <v>46379</v>
      </c>
      <c r="D73" s="16" t="n">
        <v>2</v>
      </c>
      <c r="E73" s="5" t="s">
        <v>160</v>
      </c>
      <c r="F73" s="16" t="n">
        <v>5</v>
      </c>
      <c r="G73" s="5" t="s">
        <v>161</v>
      </c>
      <c r="H73" s="16" t="s">
        <v>104</v>
      </c>
      <c r="I73" s="16" t="n">
        <v>1</v>
      </c>
      <c r="J73" s="16" t="s">
        <v>78</v>
      </c>
      <c r="K73" s="16" t="s">
        <v>10</v>
      </c>
      <c r="L73" s="10" t="n">
        <v>106237</v>
      </c>
      <c r="M73" s="18" t="n">
        <f aca="false">IF(L73="","",IFERROR(L73*INDEX(Trip!$E$5:$E$14,MATCH(K73,Trip!$D$5:$D$14,0))/INDEX(Trip!$E$5:$E$14,MATCH(Trip!$B$10,Trip!$D$5:$D$14,0)),""))</f>
        <v>1126.58536585366</v>
      </c>
      <c r="N73" s="18" t="n">
        <f aca="false">IF(OR(M73="",D73=""),"",M73/D73)</f>
        <v>563.292682926829</v>
      </c>
      <c r="O73" s="18" t="n">
        <f aca="false">IF(M73="","",M73*I73)</f>
        <v>1126.58536585366</v>
      </c>
      <c r="P73" s="17" t="n">
        <v>46276</v>
      </c>
      <c r="Q73" s="19" t="n">
        <f aca="true">IF(ISNUMBER(P73),P73-TODAY(),IF(P73="","",P73))</f>
        <v>-26</v>
      </c>
      <c r="R73" s="16" t="s">
        <v>77</v>
      </c>
      <c r="S73" s="16"/>
      <c r="T73" s="16"/>
      <c r="U73" s="20"/>
      <c r="V73" s="18" t="n">
        <f aca="false">IF(M73="","",M73*(1+IF(U73="",Trip!$B$11,U73)))</f>
        <v>1295.57317073171</v>
      </c>
      <c r="W73" s="18" t="n">
        <f aca="false">IF(V73="","",V73*I73)</f>
        <v>1295.57317073171</v>
      </c>
      <c r="X73" s="21" t="str">
        <f aca="false">IF(OR(M73="",R73="Unavailable"),"",IF(M73=_xlfn.MINIFS($M$5:$M$604,$E$5:$E$604,E73,$G$5:$G$604,G73,$H$5:$H$604,H73,$R$5:$R$604,"&lt;&gt;Unavailable"),"⭐ Cheapest",""))</f>
        <v/>
      </c>
      <c r="Y73" s="18" t="n">
        <f aca="false">IF(COUNTIFS($E$5:$E$604,E73,$G$5:$G$604,G73,$J$5:$J$604,"Booking.com")=0,"",_xlfn.MINIFS($M$5:$M$604,$E$5:$E$604,E73,$G$5:$G$604,G73,$J$5:$J$604,"Booking.com"))</f>
        <v>1126.58536585366</v>
      </c>
      <c r="Z73" s="18" t="str">
        <f aca="false">IF(OR(Y73="",M73="",J73="Booking.com"),"",Y73-M73)</f>
        <v/>
      </c>
      <c r="AA73" s="16"/>
      <c r="AB73" s="16"/>
      <c r="AC73" s="16"/>
      <c r="AD73" s="5"/>
    </row>
    <row r="74" customFormat="false" ht="23.85" hidden="false" customHeight="false" outlineLevel="0" collapsed="false">
      <c r="A74" s="15" t="n">
        <v>70</v>
      </c>
      <c r="B74" s="16" t="s">
        <v>141</v>
      </c>
      <c r="C74" s="17" t="n">
        <v>46379</v>
      </c>
      <c r="D74" s="16" t="n">
        <v>2</v>
      </c>
      <c r="E74" s="5" t="s">
        <v>162</v>
      </c>
      <c r="F74" s="16"/>
      <c r="G74" s="5" t="s">
        <v>153</v>
      </c>
      <c r="H74" s="16" t="s">
        <v>104</v>
      </c>
      <c r="I74" s="16" t="n">
        <v>1</v>
      </c>
      <c r="J74" s="16" t="s">
        <v>76</v>
      </c>
      <c r="K74" s="16" t="s">
        <v>13</v>
      </c>
      <c r="L74" s="10" t="n">
        <v>1362</v>
      </c>
      <c r="M74" s="18" t="n">
        <f aca="false">IF(L74="","",IFERROR(L74*INDEX(Trip!$E$5:$E$14,MATCH(K74,Trip!$D$5:$D$14,0))/INDEX(Trip!$E$5:$E$14,MATCH(Trip!$B$10,Trip!$D$5:$D$14,0)),""))</f>
        <v>1362</v>
      </c>
      <c r="N74" s="18" t="n">
        <f aca="false">IF(OR(M74="",D74=""),"",M74/D74)</f>
        <v>681</v>
      </c>
      <c r="O74" s="18" t="n">
        <f aca="false">IF(M74="","",M74*I74)</f>
        <v>1362</v>
      </c>
      <c r="P74" s="17"/>
      <c r="Q74" s="19" t="str">
        <f aca="true">IF(ISNUMBER(P74),P74-TODAY(),IF(P74="","",P74))</f>
        <v/>
      </c>
      <c r="R74" s="16" t="s">
        <v>77</v>
      </c>
      <c r="S74" s="16"/>
      <c r="T74" s="16" t="s">
        <v>106</v>
      </c>
      <c r="U74" s="20"/>
      <c r="V74" s="18" t="n">
        <f aca="false">IF(M74="","",M74*(1+IF(U74="",Trip!$B$11,U74)))</f>
        <v>1566.3</v>
      </c>
      <c r="W74" s="18" t="n">
        <f aca="false">IF(V74="","",V74*I74)</f>
        <v>1566.3</v>
      </c>
      <c r="X74" s="21" t="str">
        <f aca="false">IF(OR(M74="",R74="Unavailable"),"",IF(M74=_xlfn.MINIFS($M$5:$M$604,$E$5:$E$604,E74,$G$5:$G$604,G74,$H$5:$H$604,H74,$R$5:$R$604,"&lt;&gt;Unavailable"),"⭐ Cheapest",""))</f>
        <v>⭐ Cheapest</v>
      </c>
      <c r="Y74" s="18" t="n">
        <f aca="false">IF(COUNTIFS($E$5:$E$604,E74,$G$5:$G$604,G74,$J$5:$J$604,"Booking.com")=0,"",_xlfn.MINIFS($M$5:$M$604,$E$5:$E$604,E74,$G$5:$G$604,G74,$J$5:$J$604,"Booking.com"))</f>
        <v>1447</v>
      </c>
      <c r="Z74" s="18" t="n">
        <f aca="false">IF(OR(Y74="",M74="",J74="Booking.com"),"",Y74-M74)</f>
        <v>85</v>
      </c>
      <c r="AA74" s="16"/>
      <c r="AB74" s="16"/>
      <c r="AC74" s="16"/>
      <c r="AD74" s="5"/>
    </row>
    <row r="75" customFormat="false" ht="23.85" hidden="false" customHeight="false" outlineLevel="0" collapsed="false">
      <c r="A75" s="15" t="n">
        <v>71</v>
      </c>
      <c r="B75" s="16" t="s">
        <v>141</v>
      </c>
      <c r="C75" s="17" t="n">
        <v>46379</v>
      </c>
      <c r="D75" s="16" t="n">
        <v>2</v>
      </c>
      <c r="E75" s="5" t="s">
        <v>162</v>
      </c>
      <c r="F75" s="16"/>
      <c r="G75" s="5" t="s">
        <v>153</v>
      </c>
      <c r="H75" s="16" t="s">
        <v>104</v>
      </c>
      <c r="I75" s="16" t="n">
        <v>1</v>
      </c>
      <c r="J75" s="16" t="s">
        <v>78</v>
      </c>
      <c r="K75" s="16" t="s">
        <v>13</v>
      </c>
      <c r="L75" s="10" t="n">
        <v>1447</v>
      </c>
      <c r="M75" s="18" t="n">
        <f aca="false">IF(L75="","",IFERROR(L75*INDEX(Trip!$E$5:$E$14,MATCH(K75,Trip!$D$5:$D$14,0))/INDEX(Trip!$E$5:$E$14,MATCH(Trip!$B$10,Trip!$D$5:$D$14,0)),""))</f>
        <v>1447</v>
      </c>
      <c r="N75" s="18" t="n">
        <f aca="false">IF(OR(M75="",D75=""),"",M75/D75)</f>
        <v>723.5</v>
      </c>
      <c r="O75" s="18" t="n">
        <f aca="false">IF(M75="","",M75*I75)</f>
        <v>1447</v>
      </c>
      <c r="P75" s="17"/>
      <c r="Q75" s="19" t="str">
        <f aca="true">IF(ISNUMBER(P75),P75-TODAY(),IF(P75="","",P75))</f>
        <v/>
      </c>
      <c r="R75" s="16" t="s">
        <v>77</v>
      </c>
      <c r="S75" s="16"/>
      <c r="T75" s="16"/>
      <c r="U75" s="20"/>
      <c r="V75" s="18" t="n">
        <f aca="false">IF(M75="","",M75*(1+IF(U75="",Trip!$B$11,U75)))</f>
        <v>1664.05</v>
      </c>
      <c r="W75" s="18" t="n">
        <f aca="false">IF(V75="","",V75*I75)</f>
        <v>1664.05</v>
      </c>
      <c r="X75" s="21" t="str">
        <f aca="false">IF(OR(M75="",R75="Unavailable"),"",IF(M75=_xlfn.MINIFS($M$5:$M$604,$E$5:$E$604,E75,$G$5:$G$604,G75,$H$5:$H$604,H75,$R$5:$R$604,"&lt;&gt;Unavailable"),"⭐ Cheapest",""))</f>
        <v/>
      </c>
      <c r="Y75" s="18" t="n">
        <f aca="false">IF(COUNTIFS($E$5:$E$604,E75,$G$5:$G$604,G75,$J$5:$J$604,"Booking.com")=0,"",_xlfn.MINIFS($M$5:$M$604,$E$5:$E$604,E75,$G$5:$G$604,G75,$J$5:$J$604,"Booking.com"))</f>
        <v>1447</v>
      </c>
      <c r="Z75" s="18" t="str">
        <f aca="false">IF(OR(Y75="",M75="",J75="Booking.com"),"",Y75-M75)</f>
        <v/>
      </c>
      <c r="AA75" s="16"/>
      <c r="AB75" s="16"/>
      <c r="AC75" s="16"/>
      <c r="AD75" s="5"/>
    </row>
    <row r="76" customFormat="false" ht="15" hidden="false" customHeight="false" outlineLevel="0" collapsed="false">
      <c r="A76" s="15" t="n">
        <v>72</v>
      </c>
      <c r="B76" s="16" t="s">
        <v>141</v>
      </c>
      <c r="C76" s="17" t="n">
        <v>46379</v>
      </c>
      <c r="D76" s="16" t="n">
        <v>2</v>
      </c>
      <c r="E76" s="5" t="s">
        <v>163</v>
      </c>
      <c r="F76" s="16" t="n">
        <v>4</v>
      </c>
      <c r="G76" s="5" t="s">
        <v>164</v>
      </c>
      <c r="H76" s="16" t="s">
        <v>117</v>
      </c>
      <c r="I76" s="16" t="n">
        <v>1</v>
      </c>
      <c r="J76" s="16" t="s">
        <v>76</v>
      </c>
      <c r="K76" s="16" t="s">
        <v>10</v>
      </c>
      <c r="L76" s="10" t="n">
        <v>253060</v>
      </c>
      <c r="M76" s="18" t="n">
        <f aca="false">IF(L76="","",IFERROR(L76*INDEX(Trip!$E$5:$E$14,MATCH(K76,Trip!$D$5:$D$14,0))/INDEX(Trip!$E$5:$E$14,MATCH(Trip!$B$10,Trip!$D$5:$D$14,0)),""))</f>
        <v>2683.56309650053</v>
      </c>
      <c r="N76" s="18" t="n">
        <f aca="false">IF(OR(M76="",D76=""),"",M76/D76)</f>
        <v>1341.78154825027</v>
      </c>
      <c r="O76" s="18" t="n">
        <f aca="false">IF(M76="","",M76*I76)</f>
        <v>2683.56309650053</v>
      </c>
      <c r="P76" s="17" t="n">
        <v>46318</v>
      </c>
      <c r="Q76" s="19" t="n">
        <f aca="true">IF(ISNUMBER(P76),P76-TODAY(),IF(P76="","",P76))</f>
        <v>16</v>
      </c>
      <c r="R76" s="16" t="s">
        <v>77</v>
      </c>
      <c r="S76" s="16"/>
      <c r="T76" s="16" t="s">
        <v>121</v>
      </c>
      <c r="U76" s="20"/>
      <c r="V76" s="18" t="n">
        <f aca="false">IF(M76="","",M76*(1+IF(U76="",Trip!$B$11,U76)))</f>
        <v>3086.09756097561</v>
      </c>
      <c r="W76" s="18" t="n">
        <f aca="false">IF(V76="","",V76*I76)</f>
        <v>3086.09756097561</v>
      </c>
      <c r="X76" s="21" t="str">
        <f aca="false">IF(OR(M76="",R76="Unavailable"),"",IF(M76=_xlfn.MINIFS($M$5:$M$604,$E$5:$E$604,E76,$G$5:$G$604,G76,$H$5:$H$604,H76,$R$5:$R$604,"&lt;&gt;Unavailable"),"⭐ Cheapest",""))</f>
        <v>⭐ Cheapest</v>
      </c>
      <c r="Y76" s="18" t="n">
        <f aca="false">IF(COUNTIFS($E$5:$E$604,E76,$G$5:$G$604,G76,$J$5:$J$604,"Booking.com")=0,"",_xlfn.MINIFS($M$5:$M$604,$E$5:$E$604,E76,$G$5:$G$604,G76,$J$5:$J$604,"Booking.com"))</f>
        <v>2981.99363732768</v>
      </c>
      <c r="Z76" s="18" t="n">
        <f aca="false">IF(OR(Y76="",M76="",J76="Booking.com"),"",Y76-M76)</f>
        <v>298.430540827148</v>
      </c>
      <c r="AA76" s="16"/>
      <c r="AB76" s="16"/>
      <c r="AC76" s="16"/>
      <c r="AD76" s="5"/>
    </row>
    <row r="77" customFormat="false" ht="15" hidden="false" customHeight="false" outlineLevel="0" collapsed="false">
      <c r="A77" s="15" t="n">
        <v>73</v>
      </c>
      <c r="B77" s="16" t="s">
        <v>141</v>
      </c>
      <c r="C77" s="17" t="n">
        <v>46379</v>
      </c>
      <c r="D77" s="16" t="n">
        <v>2</v>
      </c>
      <c r="E77" s="5" t="s">
        <v>163</v>
      </c>
      <c r="F77" s="16" t="n">
        <v>4</v>
      </c>
      <c r="G77" s="5" t="s">
        <v>164</v>
      </c>
      <c r="H77" s="16" t="s">
        <v>117</v>
      </c>
      <c r="I77" s="16" t="n">
        <v>1</v>
      </c>
      <c r="J77" s="16" t="s">
        <v>78</v>
      </c>
      <c r="K77" s="16" t="s">
        <v>10</v>
      </c>
      <c r="L77" s="10" t="n">
        <v>281202</v>
      </c>
      <c r="M77" s="18" t="n">
        <f aca="false">IF(L77="","",IFERROR(L77*INDEX(Trip!$E$5:$E$14,MATCH(K77,Trip!$D$5:$D$14,0))/INDEX(Trip!$E$5:$E$14,MATCH(Trip!$B$10,Trip!$D$5:$D$14,0)),""))</f>
        <v>2981.99363732768</v>
      </c>
      <c r="N77" s="18" t="n">
        <f aca="false">IF(OR(M77="",D77=""),"",M77/D77)</f>
        <v>1490.99681866384</v>
      </c>
      <c r="O77" s="18" t="n">
        <f aca="false">IF(M77="","",M77*I77)</f>
        <v>2981.99363732768</v>
      </c>
      <c r="P77" s="17" t="n">
        <v>46348</v>
      </c>
      <c r="Q77" s="19" t="n">
        <f aca="true">IF(ISNUMBER(P77),P77-TODAY(),IF(P77="","",P77))</f>
        <v>46</v>
      </c>
      <c r="R77" s="16" t="s">
        <v>77</v>
      </c>
      <c r="S77" s="16"/>
      <c r="T77" s="16"/>
      <c r="U77" s="20"/>
      <c r="V77" s="18" t="n">
        <f aca="false">IF(M77="","",M77*(1+IF(U77="",Trip!$B$11,U77)))</f>
        <v>3429.29268292683</v>
      </c>
      <c r="W77" s="18" t="n">
        <f aca="false">IF(V77="","",V77*I77)</f>
        <v>3429.29268292683</v>
      </c>
      <c r="X77" s="21" t="str">
        <f aca="false">IF(OR(M77="",R77="Unavailable"),"",IF(M77=_xlfn.MINIFS($M$5:$M$604,$E$5:$E$604,E77,$G$5:$G$604,G77,$H$5:$H$604,H77,$R$5:$R$604,"&lt;&gt;Unavailable"),"⭐ Cheapest",""))</f>
        <v/>
      </c>
      <c r="Y77" s="18" t="n">
        <f aca="false">IF(COUNTIFS($E$5:$E$604,E77,$G$5:$G$604,G77,$J$5:$J$604,"Booking.com")=0,"",_xlfn.MINIFS($M$5:$M$604,$E$5:$E$604,E77,$G$5:$G$604,G77,$J$5:$J$604,"Booking.com"))</f>
        <v>2981.99363732768</v>
      </c>
      <c r="Z77" s="18" t="str">
        <f aca="false">IF(OR(Y77="",M77="",J77="Booking.com"),"",Y77-M77)</f>
        <v/>
      </c>
      <c r="AA77" s="16"/>
      <c r="AB77" s="16"/>
      <c r="AC77" s="16"/>
      <c r="AD77" s="5"/>
    </row>
    <row r="78" customFormat="false" ht="15" hidden="false" customHeight="false" outlineLevel="0" collapsed="false">
      <c r="A78" s="15" t="n">
        <v>74</v>
      </c>
      <c r="B78" s="16" t="s">
        <v>141</v>
      </c>
      <c r="C78" s="17" t="n">
        <v>46379</v>
      </c>
      <c r="D78" s="16" t="n">
        <v>2</v>
      </c>
      <c r="E78" s="5" t="s">
        <v>163</v>
      </c>
      <c r="F78" s="16" t="n">
        <v>4</v>
      </c>
      <c r="G78" s="5" t="s">
        <v>165</v>
      </c>
      <c r="H78" s="16" t="s">
        <v>117</v>
      </c>
      <c r="I78" s="16" t="n">
        <v>1</v>
      </c>
      <c r="J78" s="16" t="s">
        <v>76</v>
      </c>
      <c r="K78" s="16" t="s">
        <v>10</v>
      </c>
      <c r="L78" s="10" t="n">
        <v>228431</v>
      </c>
      <c r="M78" s="18" t="n">
        <f aca="false">IF(L78="","",IFERROR(L78*INDEX(Trip!$E$5:$E$14,MATCH(K78,Trip!$D$5:$D$14,0))/INDEX(Trip!$E$5:$E$14,MATCH(Trip!$B$10,Trip!$D$5:$D$14,0)),""))</f>
        <v>2422.38600212089</v>
      </c>
      <c r="N78" s="18" t="n">
        <f aca="false">IF(OR(M78="",D78=""),"",M78/D78)</f>
        <v>1211.19300106045</v>
      </c>
      <c r="O78" s="18" t="n">
        <f aca="false">IF(M78="","",M78*I78)</f>
        <v>2422.38600212089</v>
      </c>
      <c r="P78" s="17" t="n">
        <v>46318</v>
      </c>
      <c r="Q78" s="19" t="n">
        <f aca="true">IF(ISNUMBER(P78),P78-TODAY(),IF(P78="","",P78))</f>
        <v>16</v>
      </c>
      <c r="R78" s="16" t="s">
        <v>77</v>
      </c>
      <c r="S78" s="16"/>
      <c r="T78" s="16"/>
      <c r="U78" s="20"/>
      <c r="V78" s="18" t="n">
        <f aca="false">IF(M78="","",M78*(1+IF(U78="",Trip!$B$11,U78)))</f>
        <v>2785.74390243902</v>
      </c>
      <c r="W78" s="18" t="n">
        <f aca="false">IF(V78="","",V78*I78)</f>
        <v>2785.74390243902</v>
      </c>
      <c r="X78" s="21" t="str">
        <f aca="false">IF(OR(M78="",R78="Unavailable"),"",IF(M78=_xlfn.MINIFS($M$5:$M$604,$E$5:$E$604,E78,$G$5:$G$604,G78,$H$5:$H$604,H78,$R$5:$R$604,"&lt;&gt;Unavailable"),"⭐ Cheapest",""))</f>
        <v>⭐ Cheapest</v>
      </c>
      <c r="Y78" s="18" t="n">
        <f aca="false">IF(COUNTIFS($E$5:$E$604,E78,$G$5:$G$604,G78,$J$5:$J$604,"Booking.com")=0,"",_xlfn.MINIFS($M$5:$M$604,$E$5:$E$604,E78,$G$5:$G$604,G78,$J$5:$J$604,"Booking.com"))</f>
        <v>2691.77094379639</v>
      </c>
      <c r="Z78" s="18" t="n">
        <f aca="false">IF(OR(Y78="",M78="",J78="Booking.com"),"",Y78-M78)</f>
        <v>269.384941675504</v>
      </c>
      <c r="AA78" s="16"/>
      <c r="AB78" s="16"/>
      <c r="AC78" s="16"/>
      <c r="AD78" s="5"/>
    </row>
    <row r="79" customFormat="false" ht="15" hidden="false" customHeight="false" outlineLevel="0" collapsed="false">
      <c r="A79" s="15" t="n">
        <v>75</v>
      </c>
      <c r="B79" s="16" t="s">
        <v>141</v>
      </c>
      <c r="C79" s="17" t="n">
        <v>46379</v>
      </c>
      <c r="D79" s="16" t="n">
        <v>2</v>
      </c>
      <c r="E79" s="5" t="s">
        <v>163</v>
      </c>
      <c r="F79" s="16" t="n">
        <v>4</v>
      </c>
      <c r="G79" s="5" t="s">
        <v>165</v>
      </c>
      <c r="H79" s="16" t="s">
        <v>117</v>
      </c>
      <c r="I79" s="16" t="n">
        <v>1</v>
      </c>
      <c r="J79" s="16" t="s">
        <v>78</v>
      </c>
      <c r="K79" s="16" t="s">
        <v>10</v>
      </c>
      <c r="L79" s="10" t="n">
        <v>253834</v>
      </c>
      <c r="M79" s="18" t="n">
        <f aca="false">IF(L79="","",IFERROR(L79*INDEX(Trip!$E$5:$E$14,MATCH(K79,Trip!$D$5:$D$14,0))/INDEX(Trip!$E$5:$E$14,MATCH(Trip!$B$10,Trip!$D$5:$D$14,0)),""))</f>
        <v>2691.77094379639</v>
      </c>
      <c r="N79" s="18" t="n">
        <f aca="false">IF(OR(M79="",D79=""),"",M79/D79)</f>
        <v>1345.8854718982</v>
      </c>
      <c r="O79" s="18" t="n">
        <f aca="false">IF(M79="","",M79*I79)</f>
        <v>2691.77094379639</v>
      </c>
      <c r="P79" s="17" t="n">
        <v>46348</v>
      </c>
      <c r="Q79" s="19" t="n">
        <f aca="true">IF(ISNUMBER(P79),P79-TODAY(),IF(P79="","",P79))</f>
        <v>46</v>
      </c>
      <c r="R79" s="16" t="s">
        <v>77</v>
      </c>
      <c r="S79" s="16"/>
      <c r="T79" s="16"/>
      <c r="U79" s="20"/>
      <c r="V79" s="18" t="n">
        <f aca="false">IF(M79="","",M79*(1+IF(U79="",Trip!$B$11,U79)))</f>
        <v>3095.53658536585</v>
      </c>
      <c r="W79" s="18" t="n">
        <f aca="false">IF(V79="","",V79*I79)</f>
        <v>3095.53658536585</v>
      </c>
      <c r="X79" s="21" t="str">
        <f aca="false">IF(OR(M79="",R79="Unavailable"),"",IF(M79=_xlfn.MINIFS($M$5:$M$604,$E$5:$E$604,E79,$G$5:$G$604,G79,$H$5:$H$604,H79,$R$5:$R$604,"&lt;&gt;Unavailable"),"⭐ Cheapest",""))</f>
        <v/>
      </c>
      <c r="Y79" s="18" t="n">
        <f aca="false">IF(COUNTIFS($E$5:$E$604,E79,$G$5:$G$604,G79,$J$5:$J$604,"Booking.com")=0,"",_xlfn.MINIFS($M$5:$M$604,$E$5:$E$604,E79,$G$5:$G$604,G79,$J$5:$J$604,"Booking.com"))</f>
        <v>2691.77094379639</v>
      </c>
      <c r="Z79" s="18" t="str">
        <f aca="false">IF(OR(Y79="",M79="",J79="Booking.com"),"",Y79-M79)</f>
        <v/>
      </c>
      <c r="AA79" s="16"/>
      <c r="AB79" s="16"/>
      <c r="AC79" s="16"/>
      <c r="AD79" s="5"/>
    </row>
    <row r="80" customFormat="false" ht="15" hidden="false" customHeight="false" outlineLevel="0" collapsed="false">
      <c r="A80" s="15" t="n">
        <v>76</v>
      </c>
      <c r="B80" s="16" t="s">
        <v>141</v>
      </c>
      <c r="C80" s="17" t="n">
        <v>46379</v>
      </c>
      <c r="D80" s="16" t="n">
        <v>2</v>
      </c>
      <c r="E80" s="5" t="s">
        <v>166</v>
      </c>
      <c r="F80" s="16"/>
      <c r="G80" s="5" t="s">
        <v>167</v>
      </c>
      <c r="H80" s="16" t="s">
        <v>75</v>
      </c>
      <c r="I80" s="16" t="n">
        <v>1</v>
      </c>
      <c r="J80" s="16" t="s">
        <v>76</v>
      </c>
      <c r="K80" s="16" t="s">
        <v>13</v>
      </c>
      <c r="L80" s="10" t="n">
        <v>752</v>
      </c>
      <c r="M80" s="18" t="n">
        <f aca="false">IF(L80="","",IFERROR(L80*INDEX(Trip!$E$5:$E$14,MATCH(K80,Trip!$D$5:$D$14,0))/INDEX(Trip!$E$5:$E$14,MATCH(Trip!$B$10,Trip!$D$5:$D$14,0)),""))</f>
        <v>752</v>
      </c>
      <c r="N80" s="18" t="n">
        <f aca="false">IF(OR(M80="",D80=""),"",M80/D80)</f>
        <v>376</v>
      </c>
      <c r="O80" s="18" t="n">
        <f aca="false">IF(M80="","",M80*I80)</f>
        <v>752</v>
      </c>
      <c r="P80" s="17" t="n">
        <v>46374</v>
      </c>
      <c r="Q80" s="19" t="n">
        <f aca="true">IF(ISNUMBER(P80),P80-TODAY(),IF(P80="","",P80))</f>
        <v>72</v>
      </c>
      <c r="R80" s="16" t="s">
        <v>77</v>
      </c>
      <c r="S80" s="16"/>
      <c r="T80" s="16" t="s">
        <v>83</v>
      </c>
      <c r="U80" s="20"/>
      <c r="V80" s="18" t="n">
        <f aca="false">IF(M80="","",M80*(1+IF(U80="",Trip!$B$11,U80)))</f>
        <v>864.8</v>
      </c>
      <c r="W80" s="18" t="n">
        <f aca="false">IF(V80="","",V80*I80)</f>
        <v>864.8</v>
      </c>
      <c r="X80" s="21" t="str">
        <f aca="false">IF(OR(M80="",R80="Unavailable"),"",IF(M80=_xlfn.MINIFS($M$5:$M$604,$E$5:$E$604,E80,$G$5:$G$604,G80,$H$5:$H$604,H80,$R$5:$R$604,"&lt;&gt;Unavailable"),"⭐ Cheapest",""))</f>
        <v>⭐ Cheapest</v>
      </c>
      <c r="Y80" s="18" t="n">
        <f aca="false">IF(COUNTIFS($E$5:$E$604,E80,$G$5:$G$604,G80,$J$5:$J$604,"Booking.com")=0,"",_xlfn.MINIFS($M$5:$M$604,$E$5:$E$604,E80,$G$5:$G$604,G80,$J$5:$J$604,"Booking.com"))</f>
        <v>923</v>
      </c>
      <c r="Z80" s="18" t="n">
        <f aca="false">IF(OR(Y80="",M80="",J80="Booking.com"),"",Y80-M80)</f>
        <v>171</v>
      </c>
      <c r="AA80" s="16"/>
      <c r="AB80" s="16"/>
      <c r="AC80" s="16"/>
      <c r="AD80" s="5"/>
    </row>
    <row r="81" customFormat="false" ht="15" hidden="false" customHeight="false" outlineLevel="0" collapsed="false">
      <c r="A81" s="15" t="n">
        <v>77</v>
      </c>
      <c r="B81" s="16" t="s">
        <v>141</v>
      </c>
      <c r="C81" s="17" t="n">
        <v>46379</v>
      </c>
      <c r="D81" s="16" t="n">
        <v>2</v>
      </c>
      <c r="E81" s="5" t="s">
        <v>166</v>
      </c>
      <c r="F81" s="16"/>
      <c r="G81" s="5" t="s">
        <v>167</v>
      </c>
      <c r="H81" s="16" t="s">
        <v>75</v>
      </c>
      <c r="I81" s="16" t="n">
        <v>1</v>
      </c>
      <c r="J81" s="16" t="s">
        <v>78</v>
      </c>
      <c r="K81" s="16" t="s">
        <v>13</v>
      </c>
      <c r="L81" s="10" t="n">
        <v>923</v>
      </c>
      <c r="M81" s="18" t="n">
        <f aca="false">IF(L81="","",IFERROR(L81*INDEX(Trip!$E$5:$E$14,MATCH(K81,Trip!$D$5:$D$14,0))/INDEX(Trip!$E$5:$E$14,MATCH(Trip!$B$10,Trip!$D$5:$D$14,0)),""))</f>
        <v>923</v>
      </c>
      <c r="N81" s="18" t="n">
        <f aca="false">IF(OR(M81="",D81=""),"",M81/D81)</f>
        <v>461.5</v>
      </c>
      <c r="O81" s="18" t="n">
        <f aca="false">IF(M81="","",M81*I81)</f>
        <v>923</v>
      </c>
      <c r="P81" s="17"/>
      <c r="Q81" s="19" t="str">
        <f aca="true">IF(ISNUMBER(P81),P81-TODAY(),IF(P81="","",P81))</f>
        <v/>
      </c>
      <c r="R81" s="16" t="s">
        <v>77</v>
      </c>
      <c r="S81" s="16"/>
      <c r="T81" s="16"/>
      <c r="U81" s="20"/>
      <c r="V81" s="18" t="n">
        <f aca="false">IF(M81="","",M81*(1+IF(U81="",Trip!$B$11,U81)))</f>
        <v>1061.45</v>
      </c>
      <c r="W81" s="18" t="n">
        <f aca="false">IF(V81="","",V81*I81)</f>
        <v>1061.45</v>
      </c>
      <c r="X81" s="21" t="str">
        <f aca="false">IF(OR(M81="",R81="Unavailable"),"",IF(M81=_xlfn.MINIFS($M$5:$M$604,$E$5:$E$604,E81,$G$5:$G$604,G81,$H$5:$H$604,H81,$R$5:$R$604,"&lt;&gt;Unavailable"),"⭐ Cheapest",""))</f>
        <v/>
      </c>
      <c r="Y81" s="18" t="n">
        <f aca="false">IF(COUNTIFS($E$5:$E$604,E81,$G$5:$G$604,G81,$J$5:$J$604,"Booking.com")=0,"",_xlfn.MINIFS($M$5:$M$604,$E$5:$E$604,E81,$G$5:$G$604,G81,$J$5:$J$604,"Booking.com"))</f>
        <v>923</v>
      </c>
      <c r="Z81" s="18" t="str">
        <f aca="false">IF(OR(Y81="",M81="",J81="Booking.com"),"",Y81-M81)</f>
        <v/>
      </c>
      <c r="AA81" s="16"/>
      <c r="AB81" s="16"/>
      <c r="AC81" s="16"/>
      <c r="AD81" s="5"/>
    </row>
    <row r="82" customFormat="false" ht="15" hidden="false" customHeight="false" outlineLevel="0" collapsed="false">
      <c r="A82" s="15" t="n">
        <v>78</v>
      </c>
      <c r="B82" s="16" t="s">
        <v>141</v>
      </c>
      <c r="C82" s="17" t="n">
        <v>46379</v>
      </c>
      <c r="D82" s="16" t="n">
        <v>2</v>
      </c>
      <c r="E82" s="5" t="s">
        <v>168</v>
      </c>
      <c r="F82" s="16"/>
      <c r="G82" s="5" t="s">
        <v>169</v>
      </c>
      <c r="H82" s="16" t="s">
        <v>153</v>
      </c>
      <c r="I82" s="16" t="n">
        <v>1</v>
      </c>
      <c r="J82" s="16" t="s">
        <v>111</v>
      </c>
      <c r="K82" s="16" t="s">
        <v>13</v>
      </c>
      <c r="L82" s="10" t="n">
        <v>766</v>
      </c>
      <c r="M82" s="18" t="n">
        <f aca="false">IF(L82="","",IFERROR(L82*INDEX(Trip!$E$5:$E$14,MATCH(K82,Trip!$D$5:$D$14,0))/INDEX(Trip!$E$5:$E$14,MATCH(Trip!$B$10,Trip!$D$5:$D$14,0)),""))</f>
        <v>766</v>
      </c>
      <c r="N82" s="18" t="n">
        <f aca="false">IF(OR(M82="",D82=""),"",M82/D82)</f>
        <v>383</v>
      </c>
      <c r="O82" s="18" t="n">
        <f aca="false">IF(M82="","",M82*I82)</f>
        <v>766</v>
      </c>
      <c r="P82" s="17"/>
      <c r="Q82" s="19" t="str">
        <f aca="true">IF(ISNUMBER(P82),P82-TODAY(),IF(P82="","",P82))</f>
        <v/>
      </c>
      <c r="R82" s="16" t="s">
        <v>77</v>
      </c>
      <c r="S82" s="16"/>
      <c r="T82" s="16"/>
      <c r="U82" s="20"/>
      <c r="V82" s="18" t="n">
        <f aca="false">IF(M82="","",M82*(1+IF(U82="",Trip!$B$11,U82)))</f>
        <v>880.9</v>
      </c>
      <c r="W82" s="18" t="n">
        <f aca="false">IF(V82="","",V82*I82)</f>
        <v>880.9</v>
      </c>
      <c r="X82" s="21" t="str">
        <f aca="false">IF(OR(M82="",R82="Unavailable"),"",IF(M82=_xlfn.MINIFS($M$5:$M$604,$E$5:$E$604,E82,$G$5:$G$604,G82,$H$5:$H$604,H82,$R$5:$R$604,"&lt;&gt;Unavailable"),"⭐ Cheapest",""))</f>
        <v>⭐ Cheapest</v>
      </c>
      <c r="Y82" s="18" t="str">
        <f aca="false">IF(COUNTIFS($E$5:$E$604,E82,$G$5:$G$604,G82,$J$5:$J$604,"Booking.com")=0,"",_xlfn.MINIFS($M$5:$M$604,$E$5:$E$604,E82,$G$5:$G$604,G82,$J$5:$J$604,"Booking.com"))</f>
        <v/>
      </c>
      <c r="Z82" s="18" t="str">
        <f aca="false">IF(OR(Y82="",M82="",J82="Booking.com"),"",Y82-M82)</f>
        <v/>
      </c>
      <c r="AA82" s="16"/>
      <c r="AB82" s="16"/>
      <c r="AC82" s="16"/>
      <c r="AD82" s="5"/>
    </row>
    <row r="83" customFormat="false" ht="15" hidden="false" customHeight="false" outlineLevel="0" collapsed="false">
      <c r="A83" s="15" t="n">
        <v>79</v>
      </c>
      <c r="B83" s="16" t="s">
        <v>170</v>
      </c>
      <c r="C83" s="17" t="n">
        <v>46381</v>
      </c>
      <c r="D83" s="16" t="n">
        <v>2</v>
      </c>
      <c r="E83" s="5" t="s">
        <v>171</v>
      </c>
      <c r="F83" s="16" t="n">
        <v>4</v>
      </c>
      <c r="G83" s="5" t="s">
        <v>172</v>
      </c>
      <c r="H83" s="16" t="s">
        <v>104</v>
      </c>
      <c r="I83" s="16" t="n">
        <v>1</v>
      </c>
      <c r="J83" s="16" t="s">
        <v>76</v>
      </c>
      <c r="K83" s="16" t="s">
        <v>10</v>
      </c>
      <c r="L83" s="10" t="n">
        <v>88523</v>
      </c>
      <c r="M83" s="18" t="n">
        <f aca="false">IF(L83="","",IFERROR(L83*INDEX(Trip!$E$5:$E$14,MATCH(K83,Trip!$D$5:$D$14,0))/INDEX(Trip!$E$5:$E$14,MATCH(Trip!$B$10,Trip!$D$5:$D$14,0)),""))</f>
        <v>938.738069989396</v>
      </c>
      <c r="N83" s="18" t="n">
        <f aca="false">IF(OR(M83="",D83=""),"",M83/D83)</f>
        <v>469.369034994698</v>
      </c>
      <c r="O83" s="18" t="n">
        <f aca="false">IF(M83="","",M83*I83)</f>
        <v>938.738069989396</v>
      </c>
      <c r="P83" s="17" t="n">
        <v>46373</v>
      </c>
      <c r="Q83" s="19" t="n">
        <f aca="true">IF(ISNUMBER(P83),P83-TODAY(),IF(P83="","",P83))</f>
        <v>71</v>
      </c>
      <c r="R83" s="16" t="s">
        <v>77</v>
      </c>
      <c r="S83" s="16"/>
      <c r="T83" s="16" t="s">
        <v>83</v>
      </c>
      <c r="U83" s="20"/>
      <c r="V83" s="18" t="n">
        <f aca="false">IF(M83="","",M83*(1+IF(U83="",Trip!$B$11,U83)))</f>
        <v>1079.5487804878</v>
      </c>
      <c r="W83" s="18" t="n">
        <f aca="false">IF(V83="","",V83*I83)</f>
        <v>1079.5487804878</v>
      </c>
      <c r="X83" s="21" t="str">
        <f aca="false">IF(OR(M83="",R83="Unavailable"),"",IF(M83=_xlfn.MINIFS($M$5:$M$604,$E$5:$E$604,E83,$G$5:$G$604,G83,$H$5:$H$604,H83,$R$5:$R$604,"&lt;&gt;Unavailable"),"⭐ Cheapest",""))</f>
        <v>⭐ Cheapest</v>
      </c>
      <c r="Y83" s="18" t="n">
        <f aca="false">IF(COUNTIFS($E$5:$E$604,E83,$G$5:$G$604,G83,$J$5:$J$604,"Booking.com")=0,"",_xlfn.MINIFS($M$5:$M$604,$E$5:$E$604,E83,$G$5:$G$604,G83,$J$5:$J$604,"Booking.com"))</f>
        <v>1461</v>
      </c>
      <c r="Z83" s="18" t="n">
        <f aca="false">IF(OR(Y83="",M83="",J83="Booking.com"),"",Y83-M83)</f>
        <v>522.261930010604</v>
      </c>
      <c r="AA83" s="16"/>
      <c r="AB83" s="16"/>
      <c r="AC83" s="16"/>
      <c r="AD83" s="5"/>
    </row>
    <row r="84" customFormat="false" ht="15" hidden="false" customHeight="false" outlineLevel="0" collapsed="false">
      <c r="A84" s="15" t="n">
        <v>80</v>
      </c>
      <c r="B84" s="16" t="s">
        <v>170</v>
      </c>
      <c r="C84" s="17" t="n">
        <v>46381</v>
      </c>
      <c r="D84" s="16" t="n">
        <v>2</v>
      </c>
      <c r="E84" s="5" t="s">
        <v>171</v>
      </c>
      <c r="F84" s="16" t="n">
        <v>4</v>
      </c>
      <c r="G84" s="5" t="s">
        <v>172</v>
      </c>
      <c r="H84" s="16" t="s">
        <v>104</v>
      </c>
      <c r="I84" s="16" t="n">
        <v>1</v>
      </c>
      <c r="J84" s="16" t="s">
        <v>78</v>
      </c>
      <c r="K84" s="16" t="s">
        <v>13</v>
      </c>
      <c r="L84" s="10" t="n">
        <v>1461</v>
      </c>
      <c r="M84" s="18" t="n">
        <f aca="false">IF(L84="","",IFERROR(L84*INDEX(Trip!$E$5:$E$14,MATCH(K84,Trip!$D$5:$D$14,0))/INDEX(Trip!$E$5:$E$14,MATCH(Trip!$B$10,Trip!$D$5:$D$14,0)),""))</f>
        <v>1461</v>
      </c>
      <c r="N84" s="18" t="n">
        <f aca="false">IF(OR(M84="",D84=""),"",M84/D84)</f>
        <v>730.5</v>
      </c>
      <c r="O84" s="18" t="n">
        <f aca="false">IF(M84="","",M84*I84)</f>
        <v>1461</v>
      </c>
      <c r="P84" s="17" t="n">
        <v>46378</v>
      </c>
      <c r="Q84" s="19" t="n">
        <f aca="true">IF(ISNUMBER(P84),P84-TODAY(),IF(P84="","",P84))</f>
        <v>76</v>
      </c>
      <c r="R84" s="16" t="s">
        <v>77</v>
      </c>
      <c r="S84" s="16"/>
      <c r="T84" s="16"/>
      <c r="U84" s="20"/>
      <c r="V84" s="18" t="n">
        <f aca="false">IF(M84="","",M84*(1+IF(U84="",Trip!$B$11,U84)))</f>
        <v>1680.15</v>
      </c>
      <c r="W84" s="18" t="n">
        <f aca="false">IF(V84="","",V84*I84)</f>
        <v>1680.15</v>
      </c>
      <c r="X84" s="21" t="str">
        <f aca="false">IF(OR(M84="",R84="Unavailable"),"",IF(M84=_xlfn.MINIFS($M$5:$M$604,$E$5:$E$604,E84,$G$5:$G$604,G84,$H$5:$H$604,H84,$R$5:$R$604,"&lt;&gt;Unavailable"),"⭐ Cheapest",""))</f>
        <v/>
      </c>
      <c r="Y84" s="18" t="n">
        <f aca="false">IF(COUNTIFS($E$5:$E$604,E84,$G$5:$G$604,G84,$J$5:$J$604,"Booking.com")=0,"",_xlfn.MINIFS($M$5:$M$604,$E$5:$E$604,E84,$G$5:$G$604,G84,$J$5:$J$604,"Booking.com"))</f>
        <v>1461</v>
      </c>
      <c r="Z84" s="18" t="str">
        <f aca="false">IF(OR(Y84="",M84="",J84="Booking.com"),"",Y84-M84)</f>
        <v/>
      </c>
      <c r="AA84" s="16"/>
      <c r="AB84" s="16"/>
      <c r="AC84" s="16"/>
      <c r="AD84" s="5"/>
    </row>
    <row r="85" customFormat="false" ht="15" hidden="false" customHeight="false" outlineLevel="0" collapsed="false">
      <c r="A85" s="15" t="n">
        <v>81</v>
      </c>
      <c r="B85" s="16" t="s">
        <v>170</v>
      </c>
      <c r="C85" s="17" t="n">
        <v>46381</v>
      </c>
      <c r="D85" s="16" t="n">
        <v>2</v>
      </c>
      <c r="E85" s="5" t="s">
        <v>173</v>
      </c>
      <c r="F85" s="16" t="n">
        <v>5</v>
      </c>
      <c r="G85" s="5" t="s">
        <v>174</v>
      </c>
      <c r="H85" s="16" t="s">
        <v>75</v>
      </c>
      <c r="I85" s="16" t="n">
        <v>1</v>
      </c>
      <c r="J85" s="16" t="s">
        <v>76</v>
      </c>
      <c r="K85" s="16" t="s">
        <v>10</v>
      </c>
      <c r="L85" s="10" t="n">
        <v>175141</v>
      </c>
      <c r="M85" s="18" t="n">
        <f aca="false">IF(L85="","",IFERROR(L85*INDEX(Trip!$E$5:$E$14,MATCH(K85,Trip!$D$5:$D$14,0))/INDEX(Trip!$E$5:$E$14,MATCH(Trip!$B$10,Trip!$D$5:$D$14,0)),""))</f>
        <v>1857.27465535525</v>
      </c>
      <c r="N85" s="18" t="n">
        <f aca="false">IF(OR(M85="",D85=""),"",M85/D85)</f>
        <v>928.637327677625</v>
      </c>
      <c r="O85" s="18" t="n">
        <f aca="false">IF(M85="","",M85*I85)</f>
        <v>1857.27465535525</v>
      </c>
      <c r="P85" s="17" t="n">
        <v>46369</v>
      </c>
      <c r="Q85" s="19" t="n">
        <f aca="true">IF(ISNUMBER(P85),P85-TODAY(),IF(P85="","",P85))</f>
        <v>67</v>
      </c>
      <c r="R85" s="16" t="s">
        <v>77</v>
      </c>
      <c r="S85" s="16"/>
      <c r="T85" s="16" t="s">
        <v>106</v>
      </c>
      <c r="U85" s="20"/>
      <c r="V85" s="18" t="n">
        <f aca="false">IF(M85="","",M85*(1+IF(U85="",Trip!$B$11,U85)))</f>
        <v>2135.86585365854</v>
      </c>
      <c r="W85" s="18" t="n">
        <f aca="false">IF(V85="","",V85*I85)</f>
        <v>2135.86585365854</v>
      </c>
      <c r="X85" s="21" t="str">
        <f aca="false">IF(OR(M85="",R85="Unavailable"),"",IF(M85=_xlfn.MINIFS($M$5:$M$604,$E$5:$E$604,E85,$G$5:$G$604,G85,$H$5:$H$604,H85,$R$5:$R$604,"&lt;&gt;Unavailable"),"⭐ Cheapest",""))</f>
        <v>⭐ Cheapest</v>
      </c>
      <c r="Y85" s="18" t="n">
        <f aca="false">IF(COUNTIFS($E$5:$E$604,E85,$G$5:$G$604,G85,$J$5:$J$604,"Booking.com")=0,"",_xlfn.MINIFS($M$5:$M$604,$E$5:$E$604,E85,$G$5:$G$604,G85,$J$5:$J$604,"Booking.com"))</f>
        <v>2275.24920466596</v>
      </c>
      <c r="Z85" s="18" t="n">
        <f aca="false">IF(OR(Y85="",M85="",J85="Booking.com"),"",Y85-M85)</f>
        <v>417.974549310711</v>
      </c>
      <c r="AA85" s="16"/>
      <c r="AB85" s="16"/>
      <c r="AC85" s="16"/>
      <c r="AD85" s="5"/>
    </row>
    <row r="86" customFormat="false" ht="15" hidden="false" customHeight="false" outlineLevel="0" collapsed="false">
      <c r="A86" s="15" t="n">
        <v>82</v>
      </c>
      <c r="B86" s="16" t="s">
        <v>170</v>
      </c>
      <c r="C86" s="17" t="n">
        <v>46381</v>
      </c>
      <c r="D86" s="16" t="n">
        <v>2</v>
      </c>
      <c r="E86" s="5" t="s">
        <v>173</v>
      </c>
      <c r="F86" s="16" t="n">
        <v>5</v>
      </c>
      <c r="G86" s="5" t="s">
        <v>174</v>
      </c>
      <c r="H86" s="16" t="s">
        <v>75</v>
      </c>
      <c r="I86" s="16" t="n">
        <v>1</v>
      </c>
      <c r="J86" s="16" t="s">
        <v>78</v>
      </c>
      <c r="K86" s="16" t="s">
        <v>10</v>
      </c>
      <c r="L86" s="10" t="n">
        <v>214556</v>
      </c>
      <c r="M86" s="18" t="n">
        <f aca="false">IF(L86="","",IFERROR(L86*INDEX(Trip!$E$5:$E$14,MATCH(K86,Trip!$D$5:$D$14,0))/INDEX(Trip!$E$5:$E$14,MATCH(Trip!$B$10,Trip!$D$5:$D$14,0)),""))</f>
        <v>2275.24920466596</v>
      </c>
      <c r="N86" s="18" t="n">
        <f aca="false">IF(OR(M86="",D86=""),"",M86/D86)</f>
        <v>1137.62460233298</v>
      </c>
      <c r="O86" s="18" t="n">
        <f aca="false">IF(M86="","",M86*I86)</f>
        <v>2275.24920466596</v>
      </c>
      <c r="P86" s="17" t="n">
        <v>46349</v>
      </c>
      <c r="Q86" s="19" t="n">
        <f aca="true">IF(ISNUMBER(P86),P86-TODAY(),IF(P86="","",P86))</f>
        <v>47</v>
      </c>
      <c r="R86" s="16" t="s">
        <v>77</v>
      </c>
      <c r="S86" s="16"/>
      <c r="T86" s="16"/>
      <c r="U86" s="20"/>
      <c r="V86" s="18" t="n">
        <f aca="false">IF(M86="","",M86*(1+IF(U86="",Trip!$B$11,U86)))</f>
        <v>2616.53658536585</v>
      </c>
      <c r="W86" s="18" t="n">
        <f aca="false">IF(V86="","",V86*I86)</f>
        <v>2616.53658536585</v>
      </c>
      <c r="X86" s="21" t="str">
        <f aca="false">IF(OR(M86="",R86="Unavailable"),"",IF(M86=_xlfn.MINIFS($M$5:$M$604,$E$5:$E$604,E86,$G$5:$G$604,G86,$H$5:$H$604,H86,$R$5:$R$604,"&lt;&gt;Unavailable"),"⭐ Cheapest",""))</f>
        <v/>
      </c>
      <c r="Y86" s="18" t="n">
        <f aca="false">IF(COUNTIFS($E$5:$E$604,E86,$G$5:$G$604,G86,$J$5:$J$604,"Booking.com")=0,"",_xlfn.MINIFS($M$5:$M$604,$E$5:$E$604,E86,$G$5:$G$604,G86,$J$5:$J$604,"Booking.com"))</f>
        <v>2275.24920466596</v>
      </c>
      <c r="Z86" s="18" t="str">
        <f aca="false">IF(OR(Y86="",M86="",J86="Booking.com"),"",Y86-M86)</f>
        <v/>
      </c>
      <c r="AA86" s="16"/>
      <c r="AB86" s="16"/>
      <c r="AC86" s="16"/>
      <c r="AD86" s="5"/>
    </row>
    <row r="87" customFormat="false" ht="23.85" hidden="false" customHeight="false" outlineLevel="0" collapsed="false">
      <c r="A87" s="15" t="n">
        <v>83</v>
      </c>
      <c r="B87" s="16" t="s">
        <v>170</v>
      </c>
      <c r="C87" s="17" t="n">
        <v>46381</v>
      </c>
      <c r="D87" s="16" t="n">
        <v>2</v>
      </c>
      <c r="E87" s="5" t="s">
        <v>175</v>
      </c>
      <c r="F87" s="16"/>
      <c r="G87" s="5" t="s">
        <v>176</v>
      </c>
      <c r="H87" s="16" t="s">
        <v>75</v>
      </c>
      <c r="I87" s="16" t="n">
        <v>1</v>
      </c>
      <c r="J87" s="16" t="s">
        <v>111</v>
      </c>
      <c r="K87" s="16" t="s">
        <v>13</v>
      </c>
      <c r="L87" s="10" t="n">
        <v>1283</v>
      </c>
      <c r="M87" s="18" t="n">
        <f aca="false">IF(L87="","",IFERROR(L87*INDEX(Trip!$E$5:$E$14,MATCH(K87,Trip!$D$5:$D$14,0))/INDEX(Trip!$E$5:$E$14,MATCH(Trip!$B$10,Trip!$D$5:$D$14,0)),""))</f>
        <v>1283</v>
      </c>
      <c r="N87" s="18" t="n">
        <f aca="false">IF(OR(M87="",D87=""),"",M87/D87)</f>
        <v>641.5</v>
      </c>
      <c r="O87" s="18" t="n">
        <f aca="false">IF(M87="","",M87*I87)</f>
        <v>1283</v>
      </c>
      <c r="P87" s="17" t="s">
        <v>132</v>
      </c>
      <c r="Q87" s="19" t="str">
        <f aca="true">IF(ISNUMBER(P87),P87-TODAY(),IF(P87="","",P87))</f>
        <v>NRF</v>
      </c>
      <c r="R87" s="16" t="s">
        <v>77</v>
      </c>
      <c r="S87" s="16"/>
      <c r="T87" s="16"/>
      <c r="U87" s="20"/>
      <c r="V87" s="18" t="n">
        <f aca="false">IF(M87="","",M87*(1+IF(U87="",Trip!$B$11,U87)))</f>
        <v>1475.45</v>
      </c>
      <c r="W87" s="18" t="n">
        <f aca="false">IF(V87="","",V87*I87)</f>
        <v>1475.45</v>
      </c>
      <c r="X87" s="21" t="str">
        <f aca="false">IF(OR(M87="",R87="Unavailable"),"",IF(M87=_xlfn.MINIFS($M$5:$M$604,$E$5:$E$604,E87,$G$5:$G$604,G87,$H$5:$H$604,H87,$R$5:$R$604,"&lt;&gt;Unavailable"),"⭐ Cheapest",""))</f>
        <v>⭐ Cheapest</v>
      </c>
      <c r="Y87" s="18" t="n">
        <f aca="false">IF(COUNTIFS($E$5:$E$604,E87,$G$5:$G$604,G87,$J$5:$J$604,"Booking.com")=0,"",_xlfn.MINIFS($M$5:$M$604,$E$5:$E$604,E87,$G$5:$G$604,G87,$J$5:$J$604,"Booking.com"))</f>
        <v>1359.84093319194</v>
      </c>
      <c r="Z87" s="18" t="n">
        <f aca="false">IF(OR(Y87="",M87="",J87="Booking.com"),"",Y87-M87)</f>
        <v>76.8409331919406</v>
      </c>
      <c r="AA87" s="16"/>
      <c r="AB87" s="16"/>
      <c r="AC87" s="16"/>
      <c r="AD87" s="5"/>
    </row>
    <row r="88" customFormat="false" ht="23.85" hidden="false" customHeight="false" outlineLevel="0" collapsed="false">
      <c r="A88" s="15" t="n">
        <v>84</v>
      </c>
      <c r="B88" s="16" t="s">
        <v>170</v>
      </c>
      <c r="C88" s="17" t="n">
        <v>46381</v>
      </c>
      <c r="D88" s="16" t="n">
        <v>2</v>
      </c>
      <c r="E88" s="5" t="s">
        <v>175</v>
      </c>
      <c r="F88" s="16"/>
      <c r="G88" s="5" t="s">
        <v>176</v>
      </c>
      <c r="H88" s="16" t="s">
        <v>75</v>
      </c>
      <c r="I88" s="16" t="n">
        <v>1</v>
      </c>
      <c r="J88" s="16" t="s">
        <v>78</v>
      </c>
      <c r="K88" s="16" t="s">
        <v>10</v>
      </c>
      <c r="L88" s="10" t="n">
        <v>128233</v>
      </c>
      <c r="M88" s="18" t="n">
        <f aca="false">IF(L88="","",IFERROR(L88*INDEX(Trip!$E$5:$E$14,MATCH(K88,Trip!$D$5:$D$14,0))/INDEX(Trip!$E$5:$E$14,MATCH(Trip!$B$10,Trip!$D$5:$D$14,0)),""))</f>
        <v>1359.84093319194</v>
      </c>
      <c r="N88" s="18" t="n">
        <f aca="false">IF(OR(M88="",D88=""),"",M88/D88)</f>
        <v>679.92046659597</v>
      </c>
      <c r="O88" s="18" t="n">
        <f aca="false">IF(M88="","",M88*I88)</f>
        <v>1359.84093319194</v>
      </c>
      <c r="P88" s="17" t="n">
        <v>46373</v>
      </c>
      <c r="Q88" s="19" t="n">
        <f aca="true">IF(ISNUMBER(P88),P88-TODAY(),IF(P88="","",P88))</f>
        <v>71</v>
      </c>
      <c r="R88" s="16" t="s">
        <v>77</v>
      </c>
      <c r="S88" s="16"/>
      <c r="T88" s="16"/>
      <c r="U88" s="20"/>
      <c r="V88" s="18" t="n">
        <f aca="false">IF(M88="","",M88*(1+IF(U88="",Trip!$B$11,U88)))</f>
        <v>1563.81707317073</v>
      </c>
      <c r="W88" s="18" t="n">
        <f aca="false">IF(V88="","",V88*I88)</f>
        <v>1563.81707317073</v>
      </c>
      <c r="X88" s="21" t="str">
        <f aca="false">IF(OR(M88="",R88="Unavailable"),"",IF(M88=_xlfn.MINIFS($M$5:$M$604,$E$5:$E$604,E88,$G$5:$G$604,G88,$H$5:$H$604,H88,$R$5:$R$604,"&lt;&gt;Unavailable"),"⭐ Cheapest",""))</f>
        <v/>
      </c>
      <c r="Y88" s="18" t="n">
        <f aca="false">IF(COUNTIFS($E$5:$E$604,E88,$G$5:$G$604,G88,$J$5:$J$604,"Booking.com")=0,"",_xlfn.MINIFS($M$5:$M$604,$E$5:$E$604,E88,$G$5:$G$604,G88,$J$5:$J$604,"Booking.com"))</f>
        <v>1359.84093319194</v>
      </c>
      <c r="Z88" s="18" t="str">
        <f aca="false">IF(OR(Y88="",M88="",J88="Booking.com"),"",Y88-M88)</f>
        <v/>
      </c>
      <c r="AA88" s="16"/>
      <c r="AB88" s="16"/>
      <c r="AC88" s="16"/>
      <c r="AD88" s="5"/>
    </row>
    <row r="89" customFormat="false" ht="23.85" hidden="false" customHeight="false" outlineLevel="0" collapsed="false">
      <c r="A89" s="15" t="n">
        <v>85</v>
      </c>
      <c r="B89" s="16" t="s">
        <v>170</v>
      </c>
      <c r="C89" s="17" t="n">
        <v>46381</v>
      </c>
      <c r="D89" s="16" t="n">
        <v>2</v>
      </c>
      <c r="E89" s="5" t="s">
        <v>175</v>
      </c>
      <c r="F89" s="16"/>
      <c r="G89" s="5" t="s">
        <v>177</v>
      </c>
      <c r="H89" s="16" t="s">
        <v>104</v>
      </c>
      <c r="I89" s="16" t="n">
        <v>1</v>
      </c>
      <c r="J89" s="16" t="s">
        <v>148</v>
      </c>
      <c r="K89" s="16" t="s">
        <v>13</v>
      </c>
      <c r="L89" s="10" t="n">
        <v>1019.88</v>
      </c>
      <c r="M89" s="18" t="n">
        <f aca="false">IF(L89="","",IFERROR(L89*INDEX(Trip!$E$5:$E$14,MATCH(K89,Trip!$D$5:$D$14,0))/INDEX(Trip!$E$5:$E$14,MATCH(Trip!$B$10,Trip!$D$5:$D$14,0)),""))</f>
        <v>1019.88</v>
      </c>
      <c r="N89" s="18" t="n">
        <f aca="false">IF(OR(M89="",D89=""),"",M89/D89)</f>
        <v>509.94</v>
      </c>
      <c r="O89" s="18" t="n">
        <f aca="false">IF(M89="","",M89*I89)</f>
        <v>1019.88</v>
      </c>
      <c r="P89" s="17" t="n">
        <v>46320</v>
      </c>
      <c r="Q89" s="19" t="n">
        <f aca="true">IF(ISNUMBER(P89),P89-TODAY(),IF(P89="","",P89))</f>
        <v>18</v>
      </c>
      <c r="R89" s="16" t="s">
        <v>90</v>
      </c>
      <c r="S89" s="16" t="s">
        <v>178</v>
      </c>
      <c r="T89" s="16"/>
      <c r="U89" s="20" t="n">
        <v>0.1511</v>
      </c>
      <c r="V89" s="18" t="n">
        <f aca="false">IF(M89="","",M89*(1+IF(U89="",Trip!$B$11,U89)))</f>
        <v>1173.983868</v>
      </c>
      <c r="W89" s="18" t="n">
        <f aca="false">IF(V89="","",V89*I89)</f>
        <v>1173.983868</v>
      </c>
      <c r="X89" s="21" t="str">
        <f aca="false">IF(OR(M89="",R89="Unavailable"),"",IF(M89=_xlfn.MINIFS($M$5:$M$604,$E$5:$E$604,E89,$G$5:$G$604,G89,$H$5:$H$604,H89,$R$5:$R$604,"&lt;&gt;Unavailable"),"⭐ Cheapest",""))</f>
        <v>⭐ Cheapest</v>
      </c>
      <c r="Y89" s="18" t="str">
        <f aca="false">IF(COUNTIFS($E$5:$E$604,E89,$G$5:$G$604,G89,$J$5:$J$604,"Booking.com")=0,"",_xlfn.MINIFS($M$5:$M$604,$E$5:$E$604,E89,$G$5:$G$604,G89,$J$5:$J$604,"Booking.com"))</f>
        <v/>
      </c>
      <c r="Z89" s="18" t="str">
        <f aca="false">IF(OR(Y89="",M89="",J89="Booking.com"),"",Y89-M89)</f>
        <v/>
      </c>
      <c r="AA89" s="16"/>
      <c r="AB89" s="16" t="s">
        <v>92</v>
      </c>
      <c r="AC89" s="16"/>
      <c r="AD89" s="5"/>
    </row>
    <row r="90" customFormat="false" ht="23.85" hidden="false" customHeight="false" outlineLevel="0" collapsed="false">
      <c r="A90" s="15" t="n">
        <v>86</v>
      </c>
      <c r="B90" s="16" t="s">
        <v>170</v>
      </c>
      <c r="C90" s="17" t="n">
        <v>46381</v>
      </c>
      <c r="D90" s="16" t="n">
        <v>2</v>
      </c>
      <c r="E90" s="5" t="s">
        <v>175</v>
      </c>
      <c r="F90" s="16"/>
      <c r="G90" s="5" t="s">
        <v>179</v>
      </c>
      <c r="H90" s="16" t="s">
        <v>104</v>
      </c>
      <c r="I90" s="16" t="n">
        <v>1</v>
      </c>
      <c r="J90" s="16" t="s">
        <v>148</v>
      </c>
      <c r="K90" s="16" t="s">
        <v>13</v>
      </c>
      <c r="L90" s="10" t="n">
        <v>1066</v>
      </c>
      <c r="M90" s="18" t="n">
        <f aca="false">IF(L90="","",IFERROR(L90*INDEX(Trip!$E$5:$E$14,MATCH(K90,Trip!$D$5:$D$14,0))/INDEX(Trip!$E$5:$E$14,MATCH(Trip!$B$10,Trip!$D$5:$D$14,0)),""))</f>
        <v>1066</v>
      </c>
      <c r="N90" s="18" t="n">
        <f aca="false">IF(OR(M90="",D90=""),"",M90/D90)</f>
        <v>533</v>
      </c>
      <c r="O90" s="18" t="n">
        <f aca="false">IF(M90="","",M90*I90)</f>
        <v>1066</v>
      </c>
      <c r="P90" s="17" t="n">
        <v>46320</v>
      </c>
      <c r="Q90" s="19" t="n">
        <f aca="true">IF(ISNUMBER(P90),P90-TODAY(),IF(P90="","",P90))</f>
        <v>18</v>
      </c>
      <c r="R90" s="16" t="s">
        <v>90</v>
      </c>
      <c r="S90" s="16" t="s">
        <v>178</v>
      </c>
      <c r="T90" s="16"/>
      <c r="U90" s="20" t="n">
        <v>0.151</v>
      </c>
      <c r="V90" s="18" t="n">
        <f aca="false">IF(M90="","",M90*(1+IF(U90="",Trip!$B$11,U90)))</f>
        <v>1226.966</v>
      </c>
      <c r="W90" s="18" t="n">
        <f aca="false">IF(V90="","",V90*I90)</f>
        <v>1226.966</v>
      </c>
      <c r="X90" s="21" t="str">
        <f aca="false">IF(OR(M90="",R90="Unavailable"),"",IF(M90=_xlfn.MINIFS($M$5:$M$604,$E$5:$E$604,E90,$G$5:$G$604,G90,$H$5:$H$604,H90,$R$5:$R$604,"&lt;&gt;Unavailable"),"⭐ Cheapest",""))</f>
        <v>⭐ Cheapest</v>
      </c>
      <c r="Y90" s="18" t="str">
        <f aca="false">IF(COUNTIFS($E$5:$E$604,E90,$G$5:$G$604,G90,$J$5:$J$604,"Booking.com")=0,"",_xlfn.MINIFS($M$5:$M$604,$E$5:$E$604,E90,$G$5:$G$604,G90,$J$5:$J$604,"Booking.com"))</f>
        <v/>
      </c>
      <c r="Z90" s="18" t="str">
        <f aca="false">IF(OR(Y90="",M90="",J90="Booking.com"),"",Y90-M90)</f>
        <v/>
      </c>
      <c r="AA90" s="16" t="s">
        <v>92</v>
      </c>
      <c r="AB90" s="16"/>
      <c r="AC90" s="16" t="s">
        <v>92</v>
      </c>
      <c r="AD90" s="5"/>
    </row>
    <row r="91" customFormat="false" ht="15" hidden="false" customHeight="false" outlineLevel="0" collapsed="false">
      <c r="A91" s="15" t="n">
        <v>87</v>
      </c>
      <c r="B91" s="16" t="s">
        <v>170</v>
      </c>
      <c r="C91" s="17" t="n">
        <v>46381</v>
      </c>
      <c r="D91" s="16" t="n">
        <v>2</v>
      </c>
      <c r="E91" s="5" t="s">
        <v>180</v>
      </c>
      <c r="F91" s="16"/>
      <c r="G91" s="5" t="s">
        <v>153</v>
      </c>
      <c r="H91" s="16" t="s">
        <v>75</v>
      </c>
      <c r="I91" s="16" t="n">
        <v>1</v>
      </c>
      <c r="J91" s="16" t="s">
        <v>111</v>
      </c>
      <c r="K91" s="16" t="s">
        <v>13</v>
      </c>
      <c r="L91" s="10" t="n">
        <v>1385</v>
      </c>
      <c r="M91" s="18" t="n">
        <f aca="false">IF(L91="","",IFERROR(L91*INDEX(Trip!$E$5:$E$14,MATCH(K91,Trip!$D$5:$D$14,0))/INDEX(Trip!$E$5:$E$14,MATCH(Trip!$B$10,Trip!$D$5:$D$14,0)),""))</f>
        <v>1385</v>
      </c>
      <c r="N91" s="18" t="n">
        <f aca="false">IF(OR(M91="",D91=""),"",M91/D91)</f>
        <v>692.5</v>
      </c>
      <c r="O91" s="18" t="n">
        <f aca="false">IF(M91="","",M91*I91)</f>
        <v>1385</v>
      </c>
      <c r="P91" s="17" t="s">
        <v>132</v>
      </c>
      <c r="Q91" s="19" t="str">
        <f aca="true">IF(ISNUMBER(P91),P91-TODAY(),IF(P91="","",P91))</f>
        <v>NRF</v>
      </c>
      <c r="R91" s="16" t="s">
        <v>77</v>
      </c>
      <c r="S91" s="16"/>
      <c r="T91" s="16"/>
      <c r="U91" s="20"/>
      <c r="V91" s="18" t="n">
        <f aca="false">IF(M91="","",M91*(1+IF(U91="",Trip!$B$11,U91)))</f>
        <v>1592.75</v>
      </c>
      <c r="W91" s="18" t="n">
        <f aca="false">IF(V91="","",V91*I91)</f>
        <v>1592.75</v>
      </c>
      <c r="X91" s="21" t="str">
        <f aca="false">IF(OR(M91="",R91="Unavailable"),"",IF(M91=_xlfn.MINIFS($M$5:$M$604,$E$5:$E$604,E91,$G$5:$G$604,G91,$H$5:$H$604,H91,$R$5:$R$604,"&lt;&gt;Unavailable"),"⭐ Cheapest",""))</f>
        <v>⭐ Cheapest</v>
      </c>
      <c r="Y91" s="18" t="n">
        <f aca="false">IF(COUNTIFS($E$5:$E$604,E91,$G$5:$G$604,G91,$J$5:$J$604,"Booking.com")=0,"",_xlfn.MINIFS($M$5:$M$604,$E$5:$E$604,E91,$G$5:$G$604,G91,$J$5:$J$604,"Booking.com"))</f>
        <v>1467.44432661718</v>
      </c>
      <c r="Z91" s="18" t="n">
        <f aca="false">IF(OR(Y91="",M91="",J91="Booking.com"),"",Y91-M91)</f>
        <v>82.4443266171793</v>
      </c>
      <c r="AA91" s="16"/>
      <c r="AB91" s="16"/>
      <c r="AC91" s="16"/>
      <c r="AD91" s="5"/>
    </row>
    <row r="92" customFormat="false" ht="15" hidden="false" customHeight="false" outlineLevel="0" collapsed="false">
      <c r="A92" s="15" t="n">
        <v>88</v>
      </c>
      <c r="B92" s="16" t="s">
        <v>170</v>
      </c>
      <c r="C92" s="17" t="n">
        <v>46381</v>
      </c>
      <c r="D92" s="16" t="n">
        <v>2</v>
      </c>
      <c r="E92" s="5" t="s">
        <v>180</v>
      </c>
      <c r="F92" s="16"/>
      <c r="G92" s="5" t="s">
        <v>153</v>
      </c>
      <c r="H92" s="16" t="s">
        <v>75</v>
      </c>
      <c r="I92" s="16" t="n">
        <v>1</v>
      </c>
      <c r="J92" s="16" t="s">
        <v>78</v>
      </c>
      <c r="K92" s="16" t="s">
        <v>10</v>
      </c>
      <c r="L92" s="10" t="n">
        <v>138380</v>
      </c>
      <c r="M92" s="18" t="n">
        <f aca="false">IF(L92="","",IFERROR(L92*INDEX(Trip!$E$5:$E$14,MATCH(K92,Trip!$D$5:$D$14,0))/INDEX(Trip!$E$5:$E$14,MATCH(Trip!$B$10,Trip!$D$5:$D$14,0)),""))</f>
        <v>1467.44432661718</v>
      </c>
      <c r="N92" s="18" t="n">
        <f aca="false">IF(OR(M92="",D92=""),"",M92/D92)</f>
        <v>733.72216330859</v>
      </c>
      <c r="O92" s="18" t="n">
        <f aca="false">IF(M92="","",M92*I92)</f>
        <v>1467.44432661718</v>
      </c>
      <c r="P92" s="17" t="n">
        <v>46373</v>
      </c>
      <c r="Q92" s="19" t="n">
        <f aca="true">IF(ISNUMBER(P92),P92-TODAY(),IF(P92="","",P92))</f>
        <v>71</v>
      </c>
      <c r="R92" s="16" t="s">
        <v>77</v>
      </c>
      <c r="S92" s="16"/>
      <c r="T92" s="16"/>
      <c r="U92" s="20"/>
      <c r="V92" s="18" t="n">
        <f aca="false">IF(M92="","",M92*(1+IF(U92="",Trip!$B$11,U92)))</f>
        <v>1687.56097560976</v>
      </c>
      <c r="W92" s="18" t="n">
        <f aca="false">IF(V92="","",V92*I92)</f>
        <v>1687.56097560976</v>
      </c>
      <c r="X92" s="21" t="str">
        <f aca="false">IF(OR(M92="",R92="Unavailable"),"",IF(M92=_xlfn.MINIFS($M$5:$M$604,$E$5:$E$604,E92,$G$5:$G$604,G92,$H$5:$H$604,H92,$R$5:$R$604,"&lt;&gt;Unavailable"),"⭐ Cheapest",""))</f>
        <v/>
      </c>
      <c r="Y92" s="18" t="n">
        <f aca="false">IF(COUNTIFS($E$5:$E$604,E92,$G$5:$G$604,G92,$J$5:$J$604,"Booking.com")=0,"",_xlfn.MINIFS($M$5:$M$604,$E$5:$E$604,E92,$G$5:$G$604,G92,$J$5:$J$604,"Booking.com"))</f>
        <v>1467.44432661718</v>
      </c>
      <c r="Z92" s="18" t="str">
        <f aca="false">IF(OR(Y92="",M92="",J92="Booking.com"),"",Y92-M92)</f>
        <v/>
      </c>
      <c r="AA92" s="16"/>
      <c r="AB92" s="16"/>
      <c r="AC92" s="16"/>
      <c r="AD92" s="5"/>
    </row>
    <row r="93" customFormat="false" ht="15" hidden="false" customHeight="false" outlineLevel="0" collapsed="false">
      <c r="A93" s="15" t="n">
        <v>89</v>
      </c>
      <c r="B93" s="16" t="s">
        <v>181</v>
      </c>
      <c r="C93" s="17" t="n">
        <v>46383</v>
      </c>
      <c r="D93" s="16" t="n">
        <v>5</v>
      </c>
      <c r="E93" s="5" t="s">
        <v>182</v>
      </c>
      <c r="F93" s="16"/>
      <c r="G93" s="5" t="s">
        <v>183</v>
      </c>
      <c r="H93" s="16" t="s">
        <v>75</v>
      </c>
      <c r="I93" s="16" t="n">
        <v>1</v>
      </c>
      <c r="J93" s="16" t="s">
        <v>76</v>
      </c>
      <c r="K93" s="16" t="s">
        <v>10</v>
      </c>
      <c r="L93" s="10" t="n">
        <v>405176</v>
      </c>
      <c r="M93" s="18" t="n">
        <f aca="false">IF(L93="","",IFERROR(L93*INDEX(Trip!$E$5:$E$14,MATCH(K93,Trip!$D$5:$D$14,0))/INDEX(Trip!$E$5:$E$14,MATCH(Trip!$B$10,Trip!$D$5:$D$14,0)),""))</f>
        <v>4296.67020148462</v>
      </c>
      <c r="N93" s="18" t="n">
        <f aca="false">IF(OR(M93="",D93=""),"",M93/D93)</f>
        <v>859.334040296925</v>
      </c>
      <c r="O93" s="18" t="n">
        <f aca="false">IF(M93="","",M93*I93)</f>
        <v>4296.67020148462</v>
      </c>
      <c r="P93" s="17" t="s">
        <v>132</v>
      </c>
      <c r="Q93" s="19" t="str">
        <f aca="true">IF(ISNUMBER(P93),P93-TODAY(),IF(P93="","",P93))</f>
        <v>NRF</v>
      </c>
      <c r="R93" s="16" t="s">
        <v>77</v>
      </c>
      <c r="S93" s="16"/>
      <c r="T93" s="16" t="s">
        <v>83</v>
      </c>
      <c r="U93" s="20"/>
      <c r="V93" s="18" t="n">
        <f aca="false">IF(M93="","",M93*(1+IF(U93="",Trip!$B$11,U93)))</f>
        <v>4941.17073170732</v>
      </c>
      <c r="W93" s="18" t="n">
        <f aca="false">IF(V93="","",V93*I93)</f>
        <v>4941.17073170732</v>
      </c>
      <c r="X93" s="21" t="str">
        <f aca="false">IF(OR(M93="",R93="Unavailable"),"",IF(M93=_xlfn.MINIFS($M$5:$M$604,$E$5:$E$604,E93,$G$5:$G$604,G93,$H$5:$H$604,H93,$R$5:$R$604,"&lt;&gt;Unavailable"),"⭐ Cheapest",""))</f>
        <v>⭐ Cheapest</v>
      </c>
      <c r="Y93" s="18" t="n">
        <f aca="false">IF(COUNTIFS($E$5:$E$604,E93,$G$5:$G$604,G93,$J$5:$J$604,"Booking.com")=0,"",_xlfn.MINIFS($M$5:$M$604,$E$5:$E$604,E93,$G$5:$G$604,G93,$J$5:$J$604,"Booking.com"))</f>
        <v>4474</v>
      </c>
      <c r="Z93" s="18" t="n">
        <f aca="false">IF(OR(Y93="",M93="",J93="Booking.com"),"",Y93-M93)</f>
        <v>177.329798515377</v>
      </c>
      <c r="AA93" s="16"/>
      <c r="AB93" s="16"/>
      <c r="AC93" s="16"/>
      <c r="AD93" s="5"/>
    </row>
    <row r="94" customFormat="false" ht="15" hidden="false" customHeight="false" outlineLevel="0" collapsed="false">
      <c r="A94" s="15" t="n">
        <v>90</v>
      </c>
      <c r="B94" s="16" t="s">
        <v>181</v>
      </c>
      <c r="C94" s="17" t="n">
        <v>46383</v>
      </c>
      <c r="D94" s="16" t="n">
        <v>5</v>
      </c>
      <c r="E94" s="5" t="s">
        <v>182</v>
      </c>
      <c r="F94" s="16"/>
      <c r="G94" s="5" t="s">
        <v>183</v>
      </c>
      <c r="H94" s="16" t="s">
        <v>75</v>
      </c>
      <c r="I94" s="16" t="n">
        <v>1</v>
      </c>
      <c r="J94" s="16" t="s">
        <v>78</v>
      </c>
      <c r="K94" s="16" t="s">
        <v>13</v>
      </c>
      <c r="L94" s="10" t="n">
        <v>4474</v>
      </c>
      <c r="M94" s="18" t="n">
        <f aca="false">IF(L94="","",IFERROR(L94*INDEX(Trip!$E$5:$E$14,MATCH(K94,Trip!$D$5:$D$14,0))/INDEX(Trip!$E$5:$E$14,MATCH(Trip!$B$10,Trip!$D$5:$D$14,0)),""))</f>
        <v>4474</v>
      </c>
      <c r="N94" s="18" t="n">
        <f aca="false">IF(OR(M94="",D94=""),"",M94/D94)</f>
        <v>894.8</v>
      </c>
      <c r="O94" s="18" t="n">
        <f aca="false">IF(M94="","",M94*I94)</f>
        <v>4474</v>
      </c>
      <c r="P94" s="17"/>
      <c r="Q94" s="19" t="str">
        <f aca="true">IF(ISNUMBER(P94),P94-TODAY(),IF(P94="","",P94))</f>
        <v/>
      </c>
      <c r="R94" s="16" t="s">
        <v>77</v>
      </c>
      <c r="S94" s="16"/>
      <c r="T94" s="16"/>
      <c r="U94" s="20"/>
      <c r="V94" s="18" t="n">
        <f aca="false">IF(M94="","",M94*(1+IF(U94="",Trip!$B$11,U94)))</f>
        <v>5145.1</v>
      </c>
      <c r="W94" s="18" t="n">
        <f aca="false">IF(V94="","",V94*I94)</f>
        <v>5145.1</v>
      </c>
      <c r="X94" s="21" t="str">
        <f aca="false">IF(OR(M94="",R94="Unavailable"),"",IF(M94=_xlfn.MINIFS($M$5:$M$604,$E$5:$E$604,E94,$G$5:$G$604,G94,$H$5:$H$604,H94,$R$5:$R$604,"&lt;&gt;Unavailable"),"⭐ Cheapest",""))</f>
        <v/>
      </c>
      <c r="Y94" s="18" t="n">
        <f aca="false">IF(COUNTIFS($E$5:$E$604,E94,$G$5:$G$604,G94,$J$5:$J$604,"Booking.com")=0,"",_xlfn.MINIFS($M$5:$M$604,$E$5:$E$604,E94,$G$5:$G$604,G94,$J$5:$J$604,"Booking.com"))</f>
        <v>4474</v>
      </c>
      <c r="Z94" s="18" t="str">
        <f aca="false">IF(OR(Y94="",M94="",J94="Booking.com"),"",Y94-M94)</f>
        <v/>
      </c>
      <c r="AA94" s="16"/>
      <c r="AB94" s="16"/>
      <c r="AC94" s="16"/>
      <c r="AD94" s="5"/>
    </row>
    <row r="95" customFormat="false" ht="23.85" hidden="false" customHeight="false" outlineLevel="0" collapsed="false">
      <c r="A95" s="15" t="n">
        <v>91</v>
      </c>
      <c r="B95" s="16" t="s">
        <v>181</v>
      </c>
      <c r="C95" s="17" t="n">
        <v>46383</v>
      </c>
      <c r="D95" s="16" t="n">
        <v>5</v>
      </c>
      <c r="E95" s="5" t="s">
        <v>184</v>
      </c>
      <c r="F95" s="16"/>
      <c r="G95" s="5" t="s">
        <v>185</v>
      </c>
      <c r="H95" s="16" t="s">
        <v>75</v>
      </c>
      <c r="I95" s="16" t="n">
        <v>1</v>
      </c>
      <c r="J95" s="16" t="s">
        <v>76</v>
      </c>
      <c r="K95" s="16" t="s">
        <v>10</v>
      </c>
      <c r="L95" s="10" t="n">
        <v>390001</v>
      </c>
      <c r="M95" s="18" t="n">
        <f aca="false">IF(L95="","",IFERROR(L95*INDEX(Trip!$E$5:$E$14,MATCH(K95,Trip!$D$5:$D$14,0))/INDEX(Trip!$E$5:$E$14,MATCH(Trip!$B$10,Trip!$D$5:$D$14,0)),""))</f>
        <v>4135.74761399788</v>
      </c>
      <c r="N95" s="18" t="n">
        <f aca="false">IF(OR(M95="",D95=""),"",M95/D95)</f>
        <v>827.149522799576</v>
      </c>
      <c r="O95" s="18" t="n">
        <f aca="false">IF(M95="","",M95*I95)</f>
        <v>4135.74761399788</v>
      </c>
      <c r="P95" s="17" t="n">
        <v>46319</v>
      </c>
      <c r="Q95" s="19" t="n">
        <f aca="true">IF(ISNUMBER(P95),P95-TODAY(),IF(P95="","",P95))</f>
        <v>17</v>
      </c>
      <c r="R95" s="16" t="s">
        <v>77</v>
      </c>
      <c r="S95" s="16"/>
      <c r="T95" s="16"/>
      <c r="U95" s="20"/>
      <c r="V95" s="18" t="n">
        <f aca="false">IF(M95="","",M95*(1+IF(U95="",Trip!$B$11,U95)))</f>
        <v>4756.10975609756</v>
      </c>
      <c r="W95" s="18" t="n">
        <f aca="false">IF(V95="","",V95*I95)</f>
        <v>4756.10975609756</v>
      </c>
      <c r="X95" s="21" t="str">
        <f aca="false">IF(OR(M95="",R95="Unavailable"),"",IF(M95=_xlfn.MINIFS($M$5:$M$604,$E$5:$E$604,E95,$G$5:$G$604,G95,$H$5:$H$604,H95,$R$5:$R$604,"&lt;&gt;Unavailable"),"⭐ Cheapest",""))</f>
        <v>⭐ Cheapest</v>
      </c>
      <c r="Y95" s="18" t="str">
        <f aca="false">IF(COUNTIFS($E$5:$E$604,E95,$G$5:$G$604,G95,$J$5:$J$604,"Booking.com")=0,"",_xlfn.MINIFS($M$5:$M$604,$E$5:$E$604,E95,$G$5:$G$604,G95,$J$5:$J$604,"Booking.com"))</f>
        <v/>
      </c>
      <c r="Z95" s="18" t="str">
        <f aca="false">IF(OR(Y95="",M95="",J95="Booking.com"),"",Y95-M95)</f>
        <v/>
      </c>
      <c r="AA95" s="16"/>
      <c r="AB95" s="16"/>
      <c r="AC95" s="16"/>
      <c r="AD95" s="5"/>
    </row>
    <row r="96" customFormat="false" ht="23.85" hidden="false" customHeight="false" outlineLevel="0" collapsed="false">
      <c r="A96" s="15" t="n">
        <v>92</v>
      </c>
      <c r="B96" s="16" t="s">
        <v>181</v>
      </c>
      <c r="C96" s="17" t="n">
        <v>46383</v>
      </c>
      <c r="D96" s="16" t="n">
        <v>5</v>
      </c>
      <c r="E96" s="5" t="s">
        <v>186</v>
      </c>
      <c r="F96" s="16" t="n">
        <v>5</v>
      </c>
      <c r="G96" s="5" t="s">
        <v>187</v>
      </c>
      <c r="H96" s="16" t="s">
        <v>104</v>
      </c>
      <c r="I96" s="16" t="n">
        <v>1</v>
      </c>
      <c r="J96" s="16" t="s">
        <v>105</v>
      </c>
      <c r="K96" s="16" t="s">
        <v>13</v>
      </c>
      <c r="L96" s="10" t="n">
        <v>4100</v>
      </c>
      <c r="M96" s="18" t="n">
        <f aca="false">IF(L96="","",IFERROR(L96*INDEX(Trip!$E$5:$E$14,MATCH(K96,Trip!$D$5:$D$14,0))/INDEX(Trip!$E$5:$E$14,MATCH(Trip!$B$10,Trip!$D$5:$D$14,0)),""))</f>
        <v>4100</v>
      </c>
      <c r="N96" s="18" t="n">
        <f aca="false">IF(OR(M96="",D96=""),"",M96/D96)</f>
        <v>820</v>
      </c>
      <c r="O96" s="18" t="n">
        <f aca="false">IF(M96="","",M96*I96)</f>
        <v>4100</v>
      </c>
      <c r="P96" s="17"/>
      <c r="Q96" s="19" t="str">
        <f aca="true">IF(ISNUMBER(P96),P96-TODAY(),IF(P96="","",P96))</f>
        <v/>
      </c>
      <c r="R96" s="16" t="s">
        <v>77</v>
      </c>
      <c r="S96" s="16"/>
      <c r="T96" s="16" t="s">
        <v>138</v>
      </c>
      <c r="U96" s="20"/>
      <c r="V96" s="18" t="n">
        <f aca="false">IF(M96="","",M96*(1+IF(U96="",Trip!$B$11,U96)))</f>
        <v>4715</v>
      </c>
      <c r="W96" s="18" t="n">
        <f aca="false">IF(V96="","",V96*I96)</f>
        <v>4715</v>
      </c>
      <c r="X96" s="21" t="str">
        <f aca="false">IF(OR(M96="",R96="Unavailable"),"",IF(M96=_xlfn.MINIFS($M$5:$M$604,$E$5:$E$604,E96,$G$5:$G$604,G96,$H$5:$H$604,H96,$R$5:$R$604,"&lt;&gt;Unavailable"),"⭐ Cheapest",""))</f>
        <v>⭐ Cheapest</v>
      </c>
      <c r="Y96" s="18" t="n">
        <f aca="false">IF(COUNTIFS($E$5:$E$604,E96,$G$5:$G$604,G96,$J$5:$J$604,"Booking.com")=0,"",_xlfn.MINIFS($M$5:$M$604,$E$5:$E$604,E96,$G$5:$G$604,G96,$J$5:$J$604,"Booking.com"))</f>
        <v>5020.44538706257</v>
      </c>
      <c r="Z96" s="18" t="n">
        <f aca="false">IF(OR(Y96="",M96="",J96="Booking.com"),"",Y96-M96)</f>
        <v>920.445387062567</v>
      </c>
      <c r="AA96" s="16"/>
      <c r="AB96" s="16"/>
      <c r="AC96" s="16"/>
      <c r="AD96" s="5"/>
    </row>
    <row r="97" customFormat="false" ht="23.85" hidden="false" customHeight="false" outlineLevel="0" collapsed="false">
      <c r="A97" s="15" t="n">
        <v>93</v>
      </c>
      <c r="B97" s="16" t="s">
        <v>181</v>
      </c>
      <c r="C97" s="17" t="n">
        <v>46383</v>
      </c>
      <c r="D97" s="16" t="n">
        <v>5</v>
      </c>
      <c r="E97" s="5" t="s">
        <v>186</v>
      </c>
      <c r="F97" s="16" t="n">
        <v>5</v>
      </c>
      <c r="G97" s="5" t="s">
        <v>187</v>
      </c>
      <c r="H97" s="16" t="s">
        <v>104</v>
      </c>
      <c r="I97" s="16" t="n">
        <v>1</v>
      </c>
      <c r="J97" s="16" t="s">
        <v>78</v>
      </c>
      <c r="K97" s="16" t="s">
        <v>10</v>
      </c>
      <c r="L97" s="10" t="n">
        <v>473428</v>
      </c>
      <c r="M97" s="18" t="n">
        <f aca="false">IF(L97="","",IFERROR(L97*INDEX(Trip!$E$5:$E$14,MATCH(K97,Trip!$D$5:$D$14,0))/INDEX(Trip!$E$5:$E$14,MATCH(Trip!$B$10,Trip!$D$5:$D$14,0)),""))</f>
        <v>5020.44538706257</v>
      </c>
      <c r="N97" s="18" t="n">
        <f aca="false">IF(OR(M97="",D97=""),"",M97/D97)</f>
        <v>1004.08907741251</v>
      </c>
      <c r="O97" s="18" t="n">
        <f aca="false">IF(M97="","",M97*I97)</f>
        <v>5020.44538706257</v>
      </c>
      <c r="P97" s="17" t="n">
        <v>46374</v>
      </c>
      <c r="Q97" s="19" t="n">
        <f aca="true">IF(ISNUMBER(P97),P97-TODAY(),IF(P97="","",P97))</f>
        <v>72</v>
      </c>
      <c r="R97" s="16" t="s">
        <v>77</v>
      </c>
      <c r="S97" s="16"/>
      <c r="T97" s="16"/>
      <c r="U97" s="20"/>
      <c r="V97" s="18" t="n">
        <f aca="false">IF(M97="","",M97*(1+IF(U97="",Trip!$B$11,U97)))</f>
        <v>5773.51219512195</v>
      </c>
      <c r="W97" s="18" t="n">
        <f aca="false">IF(V97="","",V97*I97)</f>
        <v>5773.51219512195</v>
      </c>
      <c r="X97" s="21" t="str">
        <f aca="false">IF(OR(M97="",R97="Unavailable"),"",IF(M97=_xlfn.MINIFS($M$5:$M$604,$E$5:$E$604,E97,$G$5:$G$604,G97,$H$5:$H$604,H97,$R$5:$R$604,"&lt;&gt;Unavailable"),"⭐ Cheapest",""))</f>
        <v/>
      </c>
      <c r="Y97" s="18" t="n">
        <f aca="false">IF(COUNTIFS($E$5:$E$604,E97,$G$5:$G$604,G97,$J$5:$J$604,"Booking.com")=0,"",_xlfn.MINIFS($M$5:$M$604,$E$5:$E$604,E97,$G$5:$G$604,G97,$J$5:$J$604,"Booking.com"))</f>
        <v>5020.44538706257</v>
      </c>
      <c r="Z97" s="18" t="str">
        <f aca="false">IF(OR(Y97="",M97="",J97="Booking.com"),"",Y97-M97)</f>
        <v/>
      </c>
      <c r="AA97" s="16"/>
      <c r="AB97" s="16"/>
      <c r="AC97" s="16"/>
      <c r="AD97" s="5"/>
    </row>
    <row r="98" customFormat="false" ht="23.85" hidden="false" customHeight="false" outlineLevel="0" collapsed="false">
      <c r="A98" s="15" t="n">
        <v>94</v>
      </c>
      <c r="B98" s="16" t="s">
        <v>181</v>
      </c>
      <c r="C98" s="17" t="n">
        <v>46383</v>
      </c>
      <c r="D98" s="16" t="n">
        <v>5</v>
      </c>
      <c r="E98" s="5" t="s">
        <v>184</v>
      </c>
      <c r="F98" s="16" t="n">
        <v>5</v>
      </c>
      <c r="G98" s="5" t="s">
        <v>188</v>
      </c>
      <c r="H98" s="16" t="s">
        <v>75</v>
      </c>
      <c r="I98" s="16" t="n">
        <v>1</v>
      </c>
      <c r="J98" s="16" t="s">
        <v>135</v>
      </c>
      <c r="K98" s="16" t="s">
        <v>10</v>
      </c>
      <c r="L98" s="10" t="n">
        <v>310680</v>
      </c>
      <c r="M98" s="18" t="n">
        <f aca="false">IF(L98="","",IFERROR(L98*INDEX(Trip!$E$5:$E$14,MATCH(K98,Trip!$D$5:$D$14,0))/INDEX(Trip!$E$5:$E$14,MATCH(Trip!$B$10,Trip!$D$5:$D$14,0)),""))</f>
        <v>3294.59172852598</v>
      </c>
      <c r="N98" s="18" t="n">
        <f aca="false">IF(OR(M98="",D98=""),"",M98/D98)</f>
        <v>658.918345705196</v>
      </c>
      <c r="O98" s="18" t="n">
        <f aca="false">IF(M98="","",M98*I98)</f>
        <v>3294.59172852598</v>
      </c>
      <c r="P98" s="17" t="n">
        <v>46321</v>
      </c>
      <c r="Q98" s="19" t="n">
        <f aca="true">IF(ISNUMBER(P98),P98-TODAY(),IF(P98="","",P98))</f>
        <v>19</v>
      </c>
      <c r="R98" s="16" t="s">
        <v>77</v>
      </c>
      <c r="S98" s="16"/>
      <c r="T98" s="16"/>
      <c r="U98" s="20"/>
      <c r="V98" s="18" t="n">
        <f aca="false">IF(M98="","",M98*(1+IF(U98="",Trip!$B$11,U98)))</f>
        <v>3788.78048780488</v>
      </c>
      <c r="W98" s="18" t="n">
        <f aca="false">IF(V98="","",V98*I98)</f>
        <v>3788.78048780488</v>
      </c>
      <c r="X98" s="21" t="str">
        <f aca="false">IF(OR(M98="",R98="Unavailable"),"",IF(M98=_xlfn.MINIFS($M$5:$M$604,$E$5:$E$604,E98,$G$5:$G$604,G98,$H$5:$H$604,H98,$R$5:$R$604,"&lt;&gt;Unavailable"),"⭐ Cheapest",""))</f>
        <v/>
      </c>
      <c r="Y98" s="18" t="n">
        <f aca="false">IF(COUNTIFS($E$5:$E$604,E98,$G$5:$G$604,G98,$J$5:$J$604,"Booking.com")=0,"",_xlfn.MINIFS($M$5:$M$604,$E$5:$E$604,E98,$G$5:$G$604,G98,$J$5:$J$604,"Booking.com"))</f>
        <v>3186.67020148462</v>
      </c>
      <c r="Z98" s="18" t="n">
        <f aca="false">IF(OR(Y98="",M98="",J98="Booking.com"),"",Y98-M98)</f>
        <v>-107.921527041357</v>
      </c>
      <c r="AA98" s="16"/>
      <c r="AB98" s="16"/>
      <c r="AC98" s="16"/>
      <c r="AD98" s="5"/>
    </row>
    <row r="99" customFormat="false" ht="23.85" hidden="false" customHeight="false" outlineLevel="0" collapsed="false">
      <c r="A99" s="15" t="n">
        <v>95</v>
      </c>
      <c r="B99" s="16" t="s">
        <v>181</v>
      </c>
      <c r="C99" s="17" t="n">
        <v>46383</v>
      </c>
      <c r="D99" s="16" t="n">
        <v>5</v>
      </c>
      <c r="E99" s="5" t="s">
        <v>184</v>
      </c>
      <c r="F99" s="16" t="n">
        <v>5</v>
      </c>
      <c r="G99" s="5" t="s">
        <v>188</v>
      </c>
      <c r="H99" s="16" t="s">
        <v>75</v>
      </c>
      <c r="I99" s="16" t="n">
        <v>1</v>
      </c>
      <c r="J99" s="16" t="s">
        <v>78</v>
      </c>
      <c r="K99" s="16" t="s">
        <v>10</v>
      </c>
      <c r="L99" s="10" t="n">
        <v>300503</v>
      </c>
      <c r="M99" s="18" t="n">
        <f aca="false">IF(L99="","",IFERROR(L99*INDEX(Trip!$E$5:$E$14,MATCH(K99,Trip!$D$5:$D$14,0))/INDEX(Trip!$E$5:$E$14,MATCH(Trip!$B$10,Trip!$D$5:$D$14,0)),""))</f>
        <v>3186.67020148462</v>
      </c>
      <c r="N99" s="18" t="n">
        <f aca="false">IF(OR(M99="",D99=""),"",M99/D99)</f>
        <v>637.334040296925</v>
      </c>
      <c r="O99" s="18" t="n">
        <f aca="false">IF(M99="","",M99*I99)</f>
        <v>3186.67020148462</v>
      </c>
      <c r="P99" s="17" t="n">
        <v>46322</v>
      </c>
      <c r="Q99" s="19" t="n">
        <f aca="true">IF(ISNUMBER(P99),P99-TODAY(),IF(P99="","",P99))</f>
        <v>20</v>
      </c>
      <c r="R99" s="16" t="s">
        <v>77</v>
      </c>
      <c r="S99" s="16"/>
      <c r="T99" s="16"/>
      <c r="U99" s="20"/>
      <c r="V99" s="18" t="n">
        <f aca="false">IF(M99="","",M99*(1+IF(U99="",Trip!$B$11,U99)))</f>
        <v>3664.67073170732</v>
      </c>
      <c r="W99" s="18" t="n">
        <f aca="false">IF(V99="","",V99*I99)</f>
        <v>3664.67073170732</v>
      </c>
      <c r="X99" s="21" t="str">
        <f aca="false">IF(OR(M99="",R99="Unavailable"),"",IF(M99=_xlfn.MINIFS($M$5:$M$604,$E$5:$E$604,E99,$G$5:$G$604,G99,$H$5:$H$604,H99,$R$5:$R$604,"&lt;&gt;Unavailable"),"⭐ Cheapest",""))</f>
        <v>⭐ Cheapest</v>
      </c>
      <c r="Y99" s="18" t="n">
        <f aca="false">IF(COUNTIFS($E$5:$E$604,E99,$G$5:$G$604,G99,$J$5:$J$604,"Booking.com")=0,"",_xlfn.MINIFS($M$5:$M$604,$E$5:$E$604,E99,$G$5:$G$604,G99,$J$5:$J$604,"Booking.com"))</f>
        <v>3186.67020148462</v>
      </c>
      <c r="Z99" s="18" t="str">
        <f aca="false">IF(OR(Y99="",M99="",J99="Booking.com"),"",Y99-M99)</f>
        <v/>
      </c>
      <c r="AA99" s="16"/>
      <c r="AB99" s="16"/>
      <c r="AC99" s="16"/>
      <c r="AD99" s="5"/>
    </row>
    <row r="100" customFormat="false" ht="15" hidden="false" customHeight="false" outlineLevel="0" collapsed="false">
      <c r="A100" s="15" t="n">
        <v>96</v>
      </c>
      <c r="B100" s="16" t="s">
        <v>181</v>
      </c>
      <c r="C100" s="17" t="n">
        <v>46383</v>
      </c>
      <c r="D100" s="16" t="n">
        <v>5</v>
      </c>
      <c r="E100" s="5" t="s">
        <v>189</v>
      </c>
      <c r="F100" s="16"/>
      <c r="G100" s="5" t="s">
        <v>153</v>
      </c>
      <c r="H100" s="16" t="s">
        <v>75</v>
      </c>
      <c r="I100" s="16" t="n">
        <v>1</v>
      </c>
      <c r="J100" s="16" t="s">
        <v>111</v>
      </c>
      <c r="K100" s="16" t="s">
        <v>13</v>
      </c>
      <c r="L100" s="10" t="n">
        <v>1700</v>
      </c>
      <c r="M100" s="18" t="n">
        <f aca="false">IF(L100="","",IFERROR(L100*INDEX(Trip!$E$5:$E$14,MATCH(K100,Trip!$D$5:$D$14,0))/INDEX(Trip!$E$5:$E$14,MATCH(Trip!$B$10,Trip!$D$5:$D$14,0)),""))</f>
        <v>1700</v>
      </c>
      <c r="N100" s="18" t="n">
        <f aca="false">IF(OR(M100="",D100=""),"",M100/D100)</f>
        <v>340</v>
      </c>
      <c r="O100" s="18" t="n">
        <f aca="false">IF(M100="","",M100*I100)</f>
        <v>1700</v>
      </c>
      <c r="P100" s="17" t="n">
        <v>46352</v>
      </c>
      <c r="Q100" s="19" t="n">
        <f aca="true">IF(ISNUMBER(P100),P100-TODAY(),IF(P100="","",P100))</f>
        <v>50</v>
      </c>
      <c r="R100" s="16" t="s">
        <v>77</v>
      </c>
      <c r="S100" s="16"/>
      <c r="T100" s="16"/>
      <c r="U100" s="20"/>
      <c r="V100" s="18" t="n">
        <f aca="false">IF(M100="","",M100*(1+IF(U100="",Trip!$B$11,U100)))</f>
        <v>1955</v>
      </c>
      <c r="W100" s="18" t="n">
        <f aca="false">IF(V100="","",V100*I100)</f>
        <v>1955</v>
      </c>
      <c r="X100" s="21" t="str">
        <f aca="false">IF(OR(M100="",R100="Unavailable"),"",IF(M100=_xlfn.MINIFS($M$5:$M$604,$E$5:$E$604,E100,$G$5:$G$604,G100,$H$5:$H$604,H100,$R$5:$R$604,"&lt;&gt;Unavailable"),"⭐ Cheapest",""))</f>
        <v/>
      </c>
      <c r="Y100" s="18" t="n">
        <f aca="false">IF(COUNTIFS($E$5:$E$604,E100,$G$5:$G$604,G100,$J$5:$J$604,"Booking.com")=0,"",_xlfn.MINIFS($M$5:$M$604,$E$5:$E$604,E100,$G$5:$G$604,G100,$J$5:$J$604,"Booking.com"))</f>
        <v>1674.27359490986</v>
      </c>
      <c r="Z100" s="18" t="n">
        <f aca="false">IF(OR(Y100="",M100="",J100="Booking.com"),"",Y100-M100)</f>
        <v>-25.7264050901379</v>
      </c>
      <c r="AA100" s="16"/>
      <c r="AB100" s="16"/>
      <c r="AC100" s="16"/>
      <c r="AD100" s="5"/>
    </row>
    <row r="101" customFormat="false" ht="15" hidden="false" customHeight="false" outlineLevel="0" collapsed="false">
      <c r="A101" s="15" t="n">
        <v>97</v>
      </c>
      <c r="B101" s="16" t="s">
        <v>181</v>
      </c>
      <c r="C101" s="17" t="n">
        <v>46383</v>
      </c>
      <c r="D101" s="16" t="n">
        <v>5</v>
      </c>
      <c r="E101" s="5" t="s">
        <v>189</v>
      </c>
      <c r="F101" s="16"/>
      <c r="G101" s="5" t="s">
        <v>153</v>
      </c>
      <c r="H101" s="16" t="s">
        <v>75</v>
      </c>
      <c r="I101" s="16" t="n">
        <v>1</v>
      </c>
      <c r="J101" s="16" t="s">
        <v>78</v>
      </c>
      <c r="K101" s="16" t="s">
        <v>10</v>
      </c>
      <c r="L101" s="10" t="n">
        <v>157884</v>
      </c>
      <c r="M101" s="18" t="n">
        <f aca="false">IF(L101="","",IFERROR(L101*INDEX(Trip!$E$5:$E$14,MATCH(K101,Trip!$D$5:$D$14,0))/INDEX(Trip!$E$5:$E$14,MATCH(Trip!$B$10,Trip!$D$5:$D$14,0)),""))</f>
        <v>1674.27359490986</v>
      </c>
      <c r="N101" s="18" t="n">
        <f aca="false">IF(OR(M101="",D101=""),"",M101/D101)</f>
        <v>334.854718981972</v>
      </c>
      <c r="O101" s="18" t="n">
        <f aca="false">IF(M101="","",M101*I101)</f>
        <v>1674.27359490986</v>
      </c>
      <c r="P101" s="17" t="n">
        <v>46352</v>
      </c>
      <c r="Q101" s="19" t="n">
        <f aca="true">IF(ISNUMBER(P101),P101-TODAY(),IF(P101="","",P101))</f>
        <v>50</v>
      </c>
      <c r="R101" s="16" t="s">
        <v>77</v>
      </c>
      <c r="S101" s="16"/>
      <c r="T101" s="16"/>
      <c r="U101" s="20"/>
      <c r="V101" s="18" t="n">
        <f aca="false">IF(M101="","",M101*(1+IF(U101="",Trip!$B$11,U101)))</f>
        <v>1925.41463414634</v>
      </c>
      <c r="W101" s="18" t="n">
        <f aca="false">IF(V101="","",V101*I101)</f>
        <v>1925.41463414634</v>
      </c>
      <c r="X101" s="21" t="str">
        <f aca="false">IF(OR(M101="",R101="Unavailable"),"",IF(M101=_xlfn.MINIFS($M$5:$M$604,$E$5:$E$604,E101,$G$5:$G$604,G101,$H$5:$H$604,H101,$R$5:$R$604,"&lt;&gt;Unavailable"),"⭐ Cheapest",""))</f>
        <v>⭐ Cheapest</v>
      </c>
      <c r="Y101" s="18" t="n">
        <f aca="false">IF(COUNTIFS($E$5:$E$604,E101,$G$5:$G$604,G101,$J$5:$J$604,"Booking.com")=0,"",_xlfn.MINIFS($M$5:$M$604,$E$5:$E$604,E101,$G$5:$G$604,G101,$J$5:$J$604,"Booking.com"))</f>
        <v>1674.27359490986</v>
      </c>
      <c r="Z101" s="18" t="str">
        <f aca="false">IF(OR(Y101="",M101="",J101="Booking.com"),"",Y101-M101)</f>
        <v/>
      </c>
      <c r="AA101" s="16"/>
      <c r="AB101" s="16"/>
      <c r="AC101" s="16"/>
      <c r="AD101" s="5"/>
    </row>
    <row r="102" customFormat="false" ht="15" hidden="false" customHeight="false" outlineLevel="0" collapsed="false">
      <c r="A102" s="15" t="n">
        <v>98</v>
      </c>
      <c r="B102" s="16" t="s">
        <v>181</v>
      </c>
      <c r="C102" s="17" t="n">
        <v>46383</v>
      </c>
      <c r="D102" s="16" t="n">
        <v>5</v>
      </c>
      <c r="E102" s="5" t="s">
        <v>190</v>
      </c>
      <c r="F102" s="16"/>
      <c r="G102" s="5" t="s">
        <v>153</v>
      </c>
      <c r="H102" s="16" t="s">
        <v>75</v>
      </c>
      <c r="I102" s="16" t="n">
        <v>1</v>
      </c>
      <c r="J102" s="16" t="s">
        <v>111</v>
      </c>
      <c r="K102" s="16" t="s">
        <v>13</v>
      </c>
      <c r="L102" s="10" t="n">
        <v>2350</v>
      </c>
      <c r="M102" s="18" t="n">
        <f aca="false">IF(L102="","",IFERROR(L102*INDEX(Trip!$E$5:$E$14,MATCH(K102,Trip!$D$5:$D$14,0))/INDEX(Trip!$E$5:$E$14,MATCH(Trip!$B$10,Trip!$D$5:$D$14,0)),""))</f>
        <v>2350</v>
      </c>
      <c r="N102" s="18" t="n">
        <f aca="false">IF(OR(M102="",D102=""),"",M102/D102)</f>
        <v>470</v>
      </c>
      <c r="O102" s="18" t="n">
        <f aca="false">IF(M102="","",M102*I102)</f>
        <v>2350</v>
      </c>
      <c r="P102" s="17" t="n">
        <v>46352</v>
      </c>
      <c r="Q102" s="19" t="n">
        <f aca="true">IF(ISNUMBER(P102),P102-TODAY(),IF(P102="","",P102))</f>
        <v>50</v>
      </c>
      <c r="R102" s="16" t="s">
        <v>77</v>
      </c>
      <c r="S102" s="16"/>
      <c r="T102" s="16"/>
      <c r="U102" s="20"/>
      <c r="V102" s="18" t="n">
        <f aca="false">IF(M102="","",M102*(1+IF(U102="",Trip!$B$11,U102)))</f>
        <v>2702.5</v>
      </c>
      <c r="W102" s="18" t="n">
        <f aca="false">IF(V102="","",V102*I102)</f>
        <v>2702.5</v>
      </c>
      <c r="X102" s="21" t="str">
        <f aca="false">IF(OR(M102="",R102="Unavailable"),"",IF(M102=_xlfn.MINIFS($M$5:$M$604,$E$5:$E$604,E102,$G$5:$G$604,G102,$H$5:$H$604,H102,$R$5:$R$604,"&lt;&gt;Unavailable"),"⭐ Cheapest",""))</f>
        <v/>
      </c>
      <c r="Y102" s="18" t="n">
        <f aca="false">IF(COUNTIFS($E$5:$E$604,E102,$G$5:$G$604,G102,$J$5:$J$604,"Booking.com")=0,"",_xlfn.MINIFS($M$5:$M$604,$E$5:$E$604,E102,$G$5:$G$604,G102,$J$5:$J$604,"Booking.com"))</f>
        <v>2312.35418875928</v>
      </c>
      <c r="Z102" s="18" t="n">
        <f aca="false">IF(OR(Y102="",M102="",J102="Booking.com"),"",Y102-M102)</f>
        <v>-37.6458112407208</v>
      </c>
      <c r="AA102" s="16"/>
      <c r="AB102" s="16"/>
      <c r="AC102" s="16"/>
      <c r="AD102" s="5"/>
    </row>
    <row r="103" customFormat="false" ht="15" hidden="false" customHeight="false" outlineLevel="0" collapsed="false">
      <c r="A103" s="15" t="n">
        <v>99</v>
      </c>
      <c r="B103" s="16" t="s">
        <v>181</v>
      </c>
      <c r="C103" s="17" t="n">
        <v>46383</v>
      </c>
      <c r="D103" s="16" t="n">
        <v>5</v>
      </c>
      <c r="E103" s="5" t="s">
        <v>190</v>
      </c>
      <c r="F103" s="16"/>
      <c r="G103" s="5" t="s">
        <v>153</v>
      </c>
      <c r="H103" s="16" t="s">
        <v>75</v>
      </c>
      <c r="I103" s="16" t="n">
        <v>1</v>
      </c>
      <c r="J103" s="16" t="s">
        <v>78</v>
      </c>
      <c r="K103" s="16" t="s">
        <v>10</v>
      </c>
      <c r="L103" s="10" t="n">
        <v>218055</v>
      </c>
      <c r="M103" s="18" t="n">
        <f aca="false">IF(L103="","",IFERROR(L103*INDEX(Trip!$E$5:$E$14,MATCH(K103,Trip!$D$5:$D$14,0))/INDEX(Trip!$E$5:$E$14,MATCH(Trip!$B$10,Trip!$D$5:$D$14,0)),""))</f>
        <v>2312.35418875928</v>
      </c>
      <c r="N103" s="18" t="n">
        <f aca="false">IF(OR(M103="",D103=""),"",M103/D103)</f>
        <v>462.470837751856</v>
      </c>
      <c r="O103" s="18" t="n">
        <f aca="false">IF(M103="","",M103*I103)</f>
        <v>2312.35418875928</v>
      </c>
      <c r="P103" s="17" t="n">
        <v>46352</v>
      </c>
      <c r="Q103" s="19" t="n">
        <f aca="true">IF(ISNUMBER(P103),P103-TODAY(),IF(P103="","",P103))</f>
        <v>50</v>
      </c>
      <c r="R103" s="16" t="s">
        <v>77</v>
      </c>
      <c r="S103" s="16"/>
      <c r="T103" s="16"/>
      <c r="U103" s="20"/>
      <c r="V103" s="18" t="n">
        <f aca="false">IF(M103="","",M103*(1+IF(U103="",Trip!$B$11,U103)))</f>
        <v>2659.20731707317</v>
      </c>
      <c r="W103" s="18" t="n">
        <f aca="false">IF(V103="","",V103*I103)</f>
        <v>2659.20731707317</v>
      </c>
      <c r="X103" s="21" t="str">
        <f aca="false">IF(OR(M103="",R103="Unavailable"),"",IF(M103=_xlfn.MINIFS($M$5:$M$604,$E$5:$E$604,E103,$G$5:$G$604,G103,$H$5:$H$604,H103,$R$5:$R$604,"&lt;&gt;Unavailable"),"⭐ Cheapest",""))</f>
        <v>⭐ Cheapest</v>
      </c>
      <c r="Y103" s="18" t="n">
        <f aca="false">IF(COUNTIFS($E$5:$E$604,E103,$G$5:$G$604,G103,$J$5:$J$604,"Booking.com")=0,"",_xlfn.MINIFS($M$5:$M$604,$E$5:$E$604,E103,$G$5:$G$604,G103,$J$5:$J$604,"Booking.com"))</f>
        <v>2312.35418875928</v>
      </c>
      <c r="Z103" s="18" t="str">
        <f aca="false">IF(OR(Y103="",M103="",J103="Booking.com"),"",Y103-M103)</f>
        <v/>
      </c>
      <c r="AA103" s="16"/>
      <c r="AB103" s="16"/>
      <c r="AC103" s="16"/>
      <c r="AD103" s="5"/>
    </row>
    <row r="104" customFormat="false" ht="23.85" hidden="false" customHeight="false" outlineLevel="0" collapsed="false">
      <c r="A104" s="15" t="n">
        <v>100</v>
      </c>
      <c r="B104" s="16" t="s">
        <v>181</v>
      </c>
      <c r="C104" s="17" t="n">
        <v>46383</v>
      </c>
      <c r="D104" s="16" t="n">
        <v>5</v>
      </c>
      <c r="E104" s="5" t="s">
        <v>191</v>
      </c>
      <c r="F104" s="16"/>
      <c r="G104" s="5" t="s">
        <v>153</v>
      </c>
      <c r="H104" s="16" t="s">
        <v>75</v>
      </c>
      <c r="I104" s="16" t="n">
        <v>1</v>
      </c>
      <c r="J104" s="16" t="s">
        <v>111</v>
      </c>
      <c r="K104" s="16" t="s">
        <v>13</v>
      </c>
      <c r="L104" s="10" t="n">
        <v>2750</v>
      </c>
      <c r="M104" s="18" t="n">
        <f aca="false">IF(L104="","",IFERROR(L104*INDEX(Trip!$E$5:$E$14,MATCH(K104,Trip!$D$5:$D$14,0))/INDEX(Trip!$E$5:$E$14,MATCH(Trip!$B$10,Trip!$D$5:$D$14,0)),""))</f>
        <v>2750</v>
      </c>
      <c r="N104" s="18" t="n">
        <f aca="false">IF(OR(M104="",D104=""),"",M104/D104)</f>
        <v>550</v>
      </c>
      <c r="O104" s="18" t="n">
        <f aca="false">IF(M104="","",M104*I104)</f>
        <v>2750</v>
      </c>
      <c r="P104" s="17" t="n">
        <v>46352</v>
      </c>
      <c r="Q104" s="19" t="n">
        <f aca="true">IF(ISNUMBER(P104),P104-TODAY(),IF(P104="","",P104))</f>
        <v>50</v>
      </c>
      <c r="R104" s="16" t="s">
        <v>77</v>
      </c>
      <c r="S104" s="16"/>
      <c r="T104" s="16"/>
      <c r="U104" s="20"/>
      <c r="V104" s="18" t="n">
        <f aca="false">IF(M104="","",M104*(1+IF(U104="",Trip!$B$11,U104)))</f>
        <v>3162.5</v>
      </c>
      <c r="W104" s="18" t="n">
        <f aca="false">IF(V104="","",V104*I104)</f>
        <v>3162.5</v>
      </c>
      <c r="X104" s="21" t="str">
        <f aca="false">IF(OR(M104="",R104="Unavailable"),"",IF(M104=_xlfn.MINIFS($M$5:$M$604,$E$5:$E$604,E104,$G$5:$G$604,G104,$H$5:$H$604,H104,$R$5:$R$604,"&lt;&gt;Unavailable"),"⭐ Cheapest",""))</f>
        <v/>
      </c>
      <c r="Y104" s="18" t="n">
        <f aca="false">IF(COUNTIFS($E$5:$E$604,E104,$G$5:$G$604,G104,$J$5:$J$604,"Booking.com")=0,"",_xlfn.MINIFS($M$5:$M$604,$E$5:$E$604,E104,$G$5:$G$604,G104,$J$5:$J$604,"Booking.com"))</f>
        <v>2705.01590668081</v>
      </c>
      <c r="Z104" s="18" t="n">
        <f aca="false">IF(OR(Y104="",M104="",J104="Booking.com"),"",Y104-M104)</f>
        <v>-44.984093319194</v>
      </c>
      <c r="AA104" s="16"/>
      <c r="AB104" s="16"/>
      <c r="AC104" s="16"/>
      <c r="AD104" s="5" t="s">
        <v>192</v>
      </c>
    </row>
    <row r="105" customFormat="false" ht="23.85" hidden="false" customHeight="false" outlineLevel="0" collapsed="false">
      <c r="A105" s="15" t="n">
        <v>101</v>
      </c>
      <c r="B105" s="16" t="s">
        <v>181</v>
      </c>
      <c r="C105" s="17" t="n">
        <v>46383</v>
      </c>
      <c r="D105" s="16" t="n">
        <v>5</v>
      </c>
      <c r="E105" s="5" t="s">
        <v>191</v>
      </c>
      <c r="F105" s="16"/>
      <c r="G105" s="5" t="s">
        <v>153</v>
      </c>
      <c r="H105" s="16" t="s">
        <v>75</v>
      </c>
      <c r="I105" s="16" t="n">
        <v>1</v>
      </c>
      <c r="J105" s="16" t="s">
        <v>78</v>
      </c>
      <c r="K105" s="16" t="s">
        <v>10</v>
      </c>
      <c r="L105" s="10" t="n">
        <v>255083</v>
      </c>
      <c r="M105" s="18" t="n">
        <f aca="false">IF(L105="","",IFERROR(L105*INDEX(Trip!$E$5:$E$14,MATCH(K105,Trip!$D$5:$D$14,0))/INDEX(Trip!$E$5:$E$14,MATCH(Trip!$B$10,Trip!$D$5:$D$14,0)),""))</f>
        <v>2705.01590668081</v>
      </c>
      <c r="N105" s="18" t="n">
        <f aca="false">IF(OR(M105="",D105=""),"",M105/D105)</f>
        <v>541.003181336161</v>
      </c>
      <c r="O105" s="18" t="n">
        <f aca="false">IF(M105="","",M105*I105)</f>
        <v>2705.01590668081</v>
      </c>
      <c r="P105" s="17" t="n">
        <v>46352</v>
      </c>
      <c r="Q105" s="19" t="n">
        <f aca="true">IF(ISNUMBER(P105),P105-TODAY(),IF(P105="","",P105))</f>
        <v>50</v>
      </c>
      <c r="R105" s="16" t="s">
        <v>77</v>
      </c>
      <c r="S105" s="16"/>
      <c r="T105" s="16"/>
      <c r="U105" s="20"/>
      <c r="V105" s="18" t="n">
        <f aca="false">IF(M105="","",M105*(1+IF(U105="",Trip!$B$11,U105)))</f>
        <v>3110.76829268293</v>
      </c>
      <c r="W105" s="18" t="n">
        <f aca="false">IF(V105="","",V105*I105)</f>
        <v>3110.76829268293</v>
      </c>
      <c r="X105" s="21" t="str">
        <f aca="false">IF(OR(M105="",R105="Unavailable"),"",IF(M105=_xlfn.MINIFS($M$5:$M$604,$E$5:$E$604,E105,$G$5:$G$604,G105,$H$5:$H$604,H105,$R$5:$R$604,"&lt;&gt;Unavailable"),"⭐ Cheapest",""))</f>
        <v>⭐ Cheapest</v>
      </c>
      <c r="Y105" s="18" t="n">
        <f aca="false">IF(COUNTIFS($E$5:$E$604,E105,$G$5:$G$604,G105,$J$5:$J$604,"Booking.com")=0,"",_xlfn.MINIFS($M$5:$M$604,$E$5:$E$604,E105,$G$5:$G$604,G105,$J$5:$J$604,"Booking.com"))</f>
        <v>2705.01590668081</v>
      </c>
      <c r="Z105" s="18" t="str">
        <f aca="false">IF(OR(Y105="",M105="",J105="Booking.com"),"",Y105-M105)</f>
        <v/>
      </c>
      <c r="AA105" s="16"/>
      <c r="AB105" s="16"/>
      <c r="AC105" s="16"/>
      <c r="AD105" s="5"/>
    </row>
    <row r="106" customFormat="false" ht="15" hidden="false" customHeight="false" outlineLevel="0" collapsed="false">
      <c r="A106" s="15" t="n">
        <v>102</v>
      </c>
      <c r="B106" s="16" t="s">
        <v>181</v>
      </c>
      <c r="C106" s="17" t="n">
        <v>46383</v>
      </c>
      <c r="D106" s="16" t="n">
        <v>5</v>
      </c>
      <c r="E106" s="5" t="s">
        <v>193</v>
      </c>
      <c r="F106" s="16"/>
      <c r="G106" s="5" t="s">
        <v>153</v>
      </c>
      <c r="H106" s="16" t="s">
        <v>75</v>
      </c>
      <c r="I106" s="16" t="n">
        <v>1</v>
      </c>
      <c r="J106" s="16" t="s">
        <v>111</v>
      </c>
      <c r="K106" s="16" t="s">
        <v>13</v>
      </c>
      <c r="L106" s="10" t="n">
        <v>3150</v>
      </c>
      <c r="M106" s="18" t="n">
        <f aca="false">IF(L106="","",IFERROR(L106*INDEX(Trip!$E$5:$E$14,MATCH(K106,Trip!$D$5:$D$14,0))/INDEX(Trip!$E$5:$E$14,MATCH(Trip!$B$10,Trip!$D$5:$D$14,0)),""))</f>
        <v>3150</v>
      </c>
      <c r="N106" s="18" t="n">
        <f aca="false">IF(OR(M106="",D106=""),"",M106/D106)</f>
        <v>630</v>
      </c>
      <c r="O106" s="18" t="n">
        <f aca="false">IF(M106="","",M106*I106)</f>
        <v>3150</v>
      </c>
      <c r="P106" s="17" t="n">
        <v>46352</v>
      </c>
      <c r="Q106" s="19" t="n">
        <f aca="true">IF(ISNUMBER(P106),P106-TODAY(),IF(P106="","",P106))</f>
        <v>50</v>
      </c>
      <c r="R106" s="16" t="s">
        <v>77</v>
      </c>
      <c r="S106" s="16"/>
      <c r="T106" s="16"/>
      <c r="U106" s="20"/>
      <c r="V106" s="18" t="n">
        <f aca="false">IF(M106="","",M106*(1+IF(U106="",Trip!$B$11,U106)))</f>
        <v>3622.5</v>
      </c>
      <c r="W106" s="18" t="n">
        <f aca="false">IF(V106="","",V106*I106)</f>
        <v>3622.5</v>
      </c>
      <c r="X106" s="21" t="str">
        <f aca="false">IF(OR(M106="",R106="Unavailable"),"",IF(M106=_xlfn.MINIFS($M$5:$M$604,$E$5:$E$604,E106,$G$5:$G$604,G106,$H$5:$H$604,H106,$R$5:$R$604,"&lt;&gt;Unavailable"),"⭐ Cheapest",""))</f>
        <v>⭐ Cheapest</v>
      </c>
      <c r="Y106" s="18" t="n">
        <f aca="false">IF(COUNTIFS($E$5:$E$604,E106,$G$5:$G$604,G106,$J$5:$J$604,"Booking.com")=0,"",_xlfn.MINIFS($M$5:$M$604,$E$5:$E$604,E106,$G$5:$G$604,G106,$J$5:$J$604,"Booking.com"))</f>
        <v>3441.8769883351</v>
      </c>
      <c r="Z106" s="18" t="n">
        <f aca="false">IF(OR(Y106="",M106="",J106="Booking.com"),"",Y106-M106)</f>
        <v>291.876988335101</v>
      </c>
      <c r="AA106" s="16"/>
      <c r="AB106" s="16"/>
      <c r="AC106" s="16"/>
      <c r="AD106" s="5"/>
    </row>
    <row r="107" customFormat="false" ht="15" hidden="false" customHeight="false" outlineLevel="0" collapsed="false">
      <c r="A107" s="15" t="n">
        <v>103</v>
      </c>
      <c r="B107" s="16" t="s">
        <v>181</v>
      </c>
      <c r="C107" s="17" t="n">
        <v>46383</v>
      </c>
      <c r="D107" s="16" t="n">
        <v>5</v>
      </c>
      <c r="E107" s="5" t="s">
        <v>193</v>
      </c>
      <c r="F107" s="16"/>
      <c r="G107" s="5" t="s">
        <v>153</v>
      </c>
      <c r="H107" s="16" t="s">
        <v>75</v>
      </c>
      <c r="I107" s="16" t="n">
        <v>1</v>
      </c>
      <c r="J107" s="16" t="s">
        <v>78</v>
      </c>
      <c r="K107" s="16" t="s">
        <v>10</v>
      </c>
      <c r="L107" s="10" t="n">
        <v>324569</v>
      </c>
      <c r="M107" s="18" t="n">
        <f aca="false">IF(L107="","",IFERROR(L107*INDEX(Trip!$E$5:$E$14,MATCH(K107,Trip!$D$5:$D$14,0))/INDEX(Trip!$E$5:$E$14,MATCH(Trip!$B$10,Trip!$D$5:$D$14,0)),""))</f>
        <v>3441.8769883351</v>
      </c>
      <c r="N107" s="18" t="n">
        <f aca="false">IF(OR(M107="",D107=""),"",M107/D107)</f>
        <v>688.37539766702</v>
      </c>
      <c r="O107" s="18" t="n">
        <f aca="false">IF(M107="","",M107*I107)</f>
        <v>3441.8769883351</v>
      </c>
      <c r="P107" s="17" t="n">
        <v>46352</v>
      </c>
      <c r="Q107" s="19" t="n">
        <f aca="true">IF(ISNUMBER(P107),P107-TODAY(),IF(P107="","",P107))</f>
        <v>50</v>
      </c>
      <c r="R107" s="16" t="s">
        <v>77</v>
      </c>
      <c r="S107" s="16"/>
      <c r="T107" s="16"/>
      <c r="U107" s="20"/>
      <c r="V107" s="18" t="n">
        <f aca="false">IF(M107="","",M107*(1+IF(U107="",Trip!$B$11,U107)))</f>
        <v>3958.15853658537</v>
      </c>
      <c r="W107" s="18" t="n">
        <f aca="false">IF(V107="","",V107*I107)</f>
        <v>3958.15853658537</v>
      </c>
      <c r="X107" s="21" t="str">
        <f aca="false">IF(OR(M107="",R107="Unavailable"),"",IF(M107=_xlfn.MINIFS($M$5:$M$604,$E$5:$E$604,E107,$G$5:$G$604,G107,$H$5:$H$604,H107,$R$5:$R$604,"&lt;&gt;Unavailable"),"⭐ Cheapest",""))</f>
        <v/>
      </c>
      <c r="Y107" s="18" t="n">
        <f aca="false">IF(COUNTIFS($E$5:$E$604,E107,$G$5:$G$604,G107,$J$5:$J$604,"Booking.com")=0,"",_xlfn.MINIFS($M$5:$M$604,$E$5:$E$604,E107,$G$5:$G$604,G107,$J$5:$J$604,"Booking.com"))</f>
        <v>3441.8769883351</v>
      </c>
      <c r="Z107" s="18" t="str">
        <f aca="false">IF(OR(Y107="",M107="",J107="Booking.com"),"",Y107-M107)</f>
        <v/>
      </c>
      <c r="AA107" s="16"/>
      <c r="AB107" s="16"/>
      <c r="AC107" s="16"/>
      <c r="AD107" s="5"/>
    </row>
    <row r="108" customFormat="false" ht="23.85" hidden="false" customHeight="false" outlineLevel="0" collapsed="false">
      <c r="A108" s="15" t="n">
        <v>104</v>
      </c>
      <c r="B108" s="16" t="s">
        <v>181</v>
      </c>
      <c r="C108" s="17" t="n">
        <v>46383</v>
      </c>
      <c r="D108" s="16" t="n">
        <v>5</v>
      </c>
      <c r="E108" s="5" t="s">
        <v>194</v>
      </c>
      <c r="F108" s="16" t="n">
        <v>5</v>
      </c>
      <c r="G108" s="5" t="s">
        <v>195</v>
      </c>
      <c r="H108" s="16" t="s">
        <v>75</v>
      </c>
      <c r="I108" s="16" t="n">
        <v>1</v>
      </c>
      <c r="J108" s="16" t="s">
        <v>111</v>
      </c>
      <c r="K108" s="16" t="s">
        <v>13</v>
      </c>
      <c r="L108" s="10" t="n">
        <v>2975</v>
      </c>
      <c r="M108" s="18" t="n">
        <f aca="false">IF(L108="","",IFERROR(L108*INDEX(Trip!$E$5:$E$14,MATCH(K108,Trip!$D$5:$D$14,0))/INDEX(Trip!$E$5:$E$14,MATCH(Trip!$B$10,Trip!$D$5:$D$14,0)),""))</f>
        <v>2975</v>
      </c>
      <c r="N108" s="18" t="n">
        <f aca="false">IF(OR(M108="",D108=""),"",M108/D108)</f>
        <v>595</v>
      </c>
      <c r="O108" s="18" t="n">
        <f aca="false">IF(M108="","",M108*I108)</f>
        <v>2975</v>
      </c>
      <c r="P108" s="17" t="n">
        <v>46376</v>
      </c>
      <c r="Q108" s="19" t="n">
        <f aca="true">IF(ISNUMBER(P108),P108-TODAY(),IF(P108="","",P108))</f>
        <v>74</v>
      </c>
      <c r="R108" s="16" t="s">
        <v>77</v>
      </c>
      <c r="S108" s="16"/>
      <c r="T108" s="16"/>
      <c r="U108" s="20"/>
      <c r="V108" s="18" t="n">
        <f aca="false">IF(M108="","",M108*(1+IF(U108="",Trip!$B$11,U108)))</f>
        <v>3421.25</v>
      </c>
      <c r="W108" s="18" t="n">
        <f aca="false">IF(V108="","",V108*I108)</f>
        <v>3421.25</v>
      </c>
      <c r="X108" s="21" t="str">
        <f aca="false">IF(OR(M108="",R108="Unavailable"),"",IF(M108=_xlfn.MINIFS($M$5:$M$604,$E$5:$E$604,E108,$G$5:$G$604,G108,$H$5:$H$604,H108,$R$5:$R$604,"&lt;&gt;Unavailable"),"⭐ Cheapest",""))</f>
        <v/>
      </c>
      <c r="Y108" s="18" t="n">
        <f aca="false">IF(COUNTIFS($E$5:$E$604,E108,$G$5:$G$604,G108,$J$5:$J$604,"Booking.com")=0,"",_xlfn.MINIFS($M$5:$M$604,$E$5:$E$604,E108,$G$5:$G$604,G108,$J$5:$J$604,"Booking.com"))</f>
        <v>2162.97985153765</v>
      </c>
      <c r="Z108" s="18" t="n">
        <f aca="false">IF(OR(Y108="",M108="",J108="Booking.com"),"",Y108-M108)</f>
        <v>-812.020148462354</v>
      </c>
      <c r="AA108" s="16"/>
      <c r="AB108" s="16"/>
      <c r="AC108" s="16"/>
      <c r="AD108" s="5" t="s">
        <v>196</v>
      </c>
    </row>
    <row r="109" customFormat="false" ht="23.85" hidden="false" customHeight="false" outlineLevel="0" collapsed="false">
      <c r="A109" s="15" t="n">
        <v>105</v>
      </c>
      <c r="B109" s="16" t="s">
        <v>181</v>
      </c>
      <c r="C109" s="17" t="n">
        <v>46383</v>
      </c>
      <c r="D109" s="16" t="n">
        <v>5</v>
      </c>
      <c r="E109" s="5" t="s">
        <v>194</v>
      </c>
      <c r="F109" s="16" t="n">
        <v>5</v>
      </c>
      <c r="G109" s="5" t="s">
        <v>195</v>
      </c>
      <c r="H109" s="16" t="s">
        <v>75</v>
      </c>
      <c r="I109" s="16" t="n">
        <v>1</v>
      </c>
      <c r="J109" s="16" t="s">
        <v>78</v>
      </c>
      <c r="K109" s="16" t="s">
        <v>10</v>
      </c>
      <c r="L109" s="10" t="n">
        <v>203969</v>
      </c>
      <c r="M109" s="18" t="n">
        <f aca="false">IF(L109="","",IFERROR(L109*INDEX(Trip!$E$5:$E$14,MATCH(K109,Trip!$D$5:$D$14,0))/INDEX(Trip!$E$5:$E$14,MATCH(Trip!$B$10,Trip!$D$5:$D$14,0)),""))</f>
        <v>2162.97985153765</v>
      </c>
      <c r="N109" s="18" t="n">
        <f aca="false">IF(OR(M109="",D109=""),"",M109/D109)</f>
        <v>432.595970307529</v>
      </c>
      <c r="O109" s="18" t="n">
        <f aca="false">IF(M109="","",M109*I109)</f>
        <v>2162.97985153765</v>
      </c>
      <c r="P109" s="17" t="n">
        <v>46375</v>
      </c>
      <c r="Q109" s="19" t="n">
        <f aca="true">IF(ISNUMBER(P109),P109-TODAY(),IF(P109="","",P109))</f>
        <v>73</v>
      </c>
      <c r="R109" s="16" t="s">
        <v>77</v>
      </c>
      <c r="S109" s="16"/>
      <c r="T109" s="16"/>
      <c r="U109" s="20"/>
      <c r="V109" s="18" t="n">
        <f aca="false">IF(M109="","",M109*(1+IF(U109="",Trip!$B$11,U109)))</f>
        <v>2487.42682926829</v>
      </c>
      <c r="W109" s="18" t="n">
        <f aca="false">IF(V109="","",V109*I109)</f>
        <v>2487.42682926829</v>
      </c>
      <c r="X109" s="21" t="str">
        <f aca="false">IF(OR(M109="",R109="Unavailable"),"",IF(M109=_xlfn.MINIFS($M$5:$M$604,$E$5:$E$604,E109,$G$5:$G$604,G109,$H$5:$H$604,H109,$R$5:$R$604,"&lt;&gt;Unavailable"),"⭐ Cheapest",""))</f>
        <v>⭐ Cheapest</v>
      </c>
      <c r="Y109" s="18" t="n">
        <f aca="false">IF(COUNTIFS($E$5:$E$604,E109,$G$5:$G$604,G109,$J$5:$J$604,"Booking.com")=0,"",_xlfn.MINIFS($M$5:$M$604,$E$5:$E$604,E109,$G$5:$G$604,G109,$J$5:$J$604,"Booking.com"))</f>
        <v>2162.97985153765</v>
      </c>
      <c r="Z109" s="18" t="str">
        <f aca="false">IF(OR(Y109="",M109="",J109="Booking.com"),"",Y109-M109)</f>
        <v/>
      </c>
      <c r="AA109" s="16"/>
      <c r="AB109" s="16"/>
      <c r="AC109" s="16"/>
      <c r="AD109" s="5"/>
    </row>
    <row r="110" customFormat="false" ht="23.85" hidden="false" customHeight="false" outlineLevel="0" collapsed="false">
      <c r="A110" s="15" t="n">
        <v>106</v>
      </c>
      <c r="B110" s="16" t="s">
        <v>181</v>
      </c>
      <c r="C110" s="17" t="n">
        <v>46383</v>
      </c>
      <c r="D110" s="16" t="n">
        <v>5</v>
      </c>
      <c r="E110" s="5" t="s">
        <v>194</v>
      </c>
      <c r="F110" s="16" t="n">
        <v>5</v>
      </c>
      <c r="G110" s="5" t="s">
        <v>197</v>
      </c>
      <c r="H110" s="16" t="s">
        <v>75</v>
      </c>
      <c r="I110" s="16" t="n">
        <v>1</v>
      </c>
      <c r="J110" s="16" t="s">
        <v>76</v>
      </c>
      <c r="K110" s="16" t="s">
        <v>10</v>
      </c>
      <c r="L110" s="10" t="n">
        <v>181816</v>
      </c>
      <c r="M110" s="18" t="n">
        <f aca="false">IF(L110="","",IFERROR(L110*INDEX(Trip!$E$5:$E$14,MATCH(K110,Trip!$D$5:$D$14,0))/INDEX(Trip!$E$5:$E$14,MATCH(Trip!$B$10,Trip!$D$5:$D$14,0)),""))</f>
        <v>1928.05938494168</v>
      </c>
      <c r="N110" s="18" t="n">
        <f aca="false">IF(OR(M110="",D110=""),"",M110/D110)</f>
        <v>385.611876988335</v>
      </c>
      <c r="O110" s="18" t="n">
        <f aca="false">IF(M110="","",M110*I110)</f>
        <v>1928.05938494168</v>
      </c>
      <c r="P110" s="17" t="n">
        <v>46360</v>
      </c>
      <c r="Q110" s="19" t="n">
        <f aca="true">IF(ISNUMBER(P110),P110-TODAY(),IF(P110="","",P110))</f>
        <v>58</v>
      </c>
      <c r="R110" s="16" t="s">
        <v>77</v>
      </c>
      <c r="S110" s="16"/>
      <c r="T110" s="16"/>
      <c r="U110" s="20"/>
      <c r="V110" s="18" t="n">
        <f aca="false">IF(M110="","",M110*(1+IF(U110="",Trip!$B$11,U110)))</f>
        <v>2217.26829268293</v>
      </c>
      <c r="W110" s="18" t="n">
        <f aca="false">IF(V110="","",V110*I110)</f>
        <v>2217.26829268293</v>
      </c>
      <c r="X110" s="21" t="str">
        <f aca="false">IF(OR(M110="",R110="Unavailable"),"",IF(M110=_xlfn.MINIFS($M$5:$M$604,$E$5:$E$604,E110,$G$5:$G$604,G110,$H$5:$H$604,H110,$R$5:$R$604,"&lt;&gt;Unavailable"),"⭐ Cheapest",""))</f>
        <v>⭐ Cheapest</v>
      </c>
      <c r="Y110" s="18" t="n">
        <f aca="false">IF(COUNTIFS($E$5:$E$604,E110,$G$5:$G$604,G110,$J$5:$J$604,"Booking.com")=0,"",_xlfn.MINIFS($M$5:$M$604,$E$5:$E$604,E110,$G$5:$G$604,G110,$J$5:$J$604,"Booking.com"))</f>
        <v>2162.97985153765</v>
      </c>
      <c r="Z110" s="18" t="n">
        <f aca="false">IF(OR(Y110="",M110="",J110="Booking.com"),"",Y110-M110)</f>
        <v>234.920466595971</v>
      </c>
      <c r="AA110" s="16"/>
      <c r="AB110" s="16"/>
      <c r="AC110" s="16"/>
      <c r="AD110" s="5"/>
    </row>
    <row r="111" customFormat="false" ht="23.85" hidden="false" customHeight="false" outlineLevel="0" collapsed="false">
      <c r="A111" s="15" t="n">
        <v>107</v>
      </c>
      <c r="B111" s="16" t="s">
        <v>181</v>
      </c>
      <c r="C111" s="17" t="n">
        <v>46383</v>
      </c>
      <c r="D111" s="16" t="n">
        <v>5</v>
      </c>
      <c r="E111" s="5" t="s">
        <v>194</v>
      </c>
      <c r="F111" s="16" t="n">
        <v>5</v>
      </c>
      <c r="G111" s="5" t="s">
        <v>197</v>
      </c>
      <c r="H111" s="16" t="s">
        <v>75</v>
      </c>
      <c r="I111" s="16" t="n">
        <v>1</v>
      </c>
      <c r="J111" s="16" t="s">
        <v>78</v>
      </c>
      <c r="K111" s="16" t="s">
        <v>10</v>
      </c>
      <c r="L111" s="10" t="n">
        <v>203969</v>
      </c>
      <c r="M111" s="18" t="n">
        <f aca="false">IF(L111="","",IFERROR(L111*INDEX(Trip!$E$5:$E$14,MATCH(K111,Trip!$D$5:$D$14,0))/INDEX(Trip!$E$5:$E$14,MATCH(Trip!$B$10,Trip!$D$5:$D$14,0)),""))</f>
        <v>2162.97985153765</v>
      </c>
      <c r="N111" s="18" t="n">
        <f aca="false">IF(OR(M111="",D111=""),"",M111/D111)</f>
        <v>432.595970307529</v>
      </c>
      <c r="O111" s="18" t="n">
        <f aca="false">IF(M111="","",M111*I111)</f>
        <v>2162.97985153765</v>
      </c>
      <c r="P111" s="17" t="n">
        <v>46375</v>
      </c>
      <c r="Q111" s="19" t="n">
        <f aca="true">IF(ISNUMBER(P111),P111-TODAY(),IF(P111="","",P111))</f>
        <v>73</v>
      </c>
      <c r="R111" s="16" t="s">
        <v>77</v>
      </c>
      <c r="S111" s="16"/>
      <c r="T111" s="16"/>
      <c r="U111" s="20"/>
      <c r="V111" s="18" t="n">
        <f aca="false">IF(M111="","",M111*(1+IF(U111="",Trip!$B$11,U111)))</f>
        <v>2487.42682926829</v>
      </c>
      <c r="W111" s="18" t="n">
        <f aca="false">IF(V111="","",V111*I111)</f>
        <v>2487.42682926829</v>
      </c>
      <c r="X111" s="21" t="str">
        <f aca="false">IF(OR(M111="",R111="Unavailable"),"",IF(M111=_xlfn.MINIFS($M$5:$M$604,$E$5:$E$604,E111,$G$5:$G$604,G111,$H$5:$H$604,H111,$R$5:$R$604,"&lt;&gt;Unavailable"),"⭐ Cheapest",""))</f>
        <v/>
      </c>
      <c r="Y111" s="18" t="n">
        <f aca="false">IF(COUNTIFS($E$5:$E$604,E111,$G$5:$G$604,G111,$J$5:$J$604,"Booking.com")=0,"",_xlfn.MINIFS($M$5:$M$604,$E$5:$E$604,E111,$G$5:$G$604,G111,$J$5:$J$604,"Booking.com"))</f>
        <v>2162.97985153765</v>
      </c>
      <c r="Z111" s="18" t="str">
        <f aca="false">IF(OR(Y111="",M111="",J111="Booking.com"),"",Y111-M111)</f>
        <v/>
      </c>
      <c r="AA111" s="16"/>
      <c r="AB111" s="16"/>
      <c r="AC111" s="16"/>
      <c r="AD111" s="5"/>
    </row>
    <row r="112" customFormat="false" ht="15" hidden="false" customHeight="false" outlineLevel="0" collapsed="false">
      <c r="A112" s="15" t="n">
        <v>108</v>
      </c>
      <c r="B112" s="16" t="s">
        <v>181</v>
      </c>
      <c r="C112" s="17" t="n">
        <v>46383</v>
      </c>
      <c r="D112" s="16" t="n">
        <v>5</v>
      </c>
      <c r="E112" s="5" t="s">
        <v>194</v>
      </c>
      <c r="F112" s="16" t="n">
        <v>5</v>
      </c>
      <c r="G112" s="5" t="s">
        <v>198</v>
      </c>
      <c r="H112" s="16" t="s">
        <v>75</v>
      </c>
      <c r="I112" s="16" t="n">
        <v>1</v>
      </c>
      <c r="J112" s="16" t="s">
        <v>111</v>
      </c>
      <c r="K112" s="16" t="s">
        <v>13</v>
      </c>
      <c r="L112" s="10" t="n">
        <v>2820</v>
      </c>
      <c r="M112" s="18" t="n">
        <f aca="false">IF(L112="","",IFERROR(L112*INDEX(Trip!$E$5:$E$14,MATCH(K112,Trip!$D$5:$D$14,0))/INDEX(Trip!$E$5:$E$14,MATCH(Trip!$B$10,Trip!$D$5:$D$14,0)),""))</f>
        <v>2820</v>
      </c>
      <c r="N112" s="18" t="n">
        <f aca="false">IF(OR(M112="",D112=""),"",M112/D112)</f>
        <v>564</v>
      </c>
      <c r="O112" s="18" t="n">
        <f aca="false">IF(M112="","",M112*I112)</f>
        <v>2820</v>
      </c>
      <c r="P112" s="17" t="n">
        <v>46376</v>
      </c>
      <c r="Q112" s="19" t="n">
        <f aca="true">IF(ISNUMBER(P112),P112-TODAY(),IF(P112="","",P112))</f>
        <v>74</v>
      </c>
      <c r="R112" s="16" t="s">
        <v>77</v>
      </c>
      <c r="S112" s="16"/>
      <c r="T112" s="16"/>
      <c r="U112" s="20"/>
      <c r="V112" s="18" t="n">
        <f aca="false">IF(M112="","",M112*(1+IF(U112="",Trip!$B$11,U112)))</f>
        <v>3243</v>
      </c>
      <c r="W112" s="18" t="n">
        <f aca="false">IF(V112="","",V112*I112)</f>
        <v>3243</v>
      </c>
      <c r="X112" s="21" t="str">
        <f aca="false">IF(OR(M112="",R112="Unavailable"),"",IF(M112=_xlfn.MINIFS($M$5:$M$604,$E$5:$E$604,E112,$G$5:$G$604,G112,$H$5:$H$604,H112,$R$5:$R$604,"&lt;&gt;Unavailable"),"⭐ Cheapest",""))</f>
        <v/>
      </c>
      <c r="Y112" s="18" t="n">
        <f aca="false">IF(COUNTIFS($E$5:$E$604,E112,$G$5:$G$604,G112,$J$5:$J$604,"Booking.com")=0,"",_xlfn.MINIFS($M$5:$M$604,$E$5:$E$604,E112,$G$5:$G$604,G112,$J$5:$J$604,"Booking.com"))</f>
        <v>2162.97985153765</v>
      </c>
      <c r="Z112" s="18" t="n">
        <f aca="false">IF(OR(Y112="",M112="",J112="Booking.com"),"",Y112-M112)</f>
        <v>-657.020148462354</v>
      </c>
      <c r="AA112" s="16"/>
      <c r="AB112" s="16"/>
      <c r="AC112" s="16"/>
      <c r="AD112" s="5" t="s">
        <v>196</v>
      </c>
    </row>
    <row r="113" customFormat="false" ht="15" hidden="false" customHeight="false" outlineLevel="0" collapsed="false">
      <c r="A113" s="15" t="n">
        <v>109</v>
      </c>
      <c r="B113" s="16" t="s">
        <v>181</v>
      </c>
      <c r="C113" s="17" t="n">
        <v>46383</v>
      </c>
      <c r="D113" s="16" t="n">
        <v>5</v>
      </c>
      <c r="E113" s="5" t="s">
        <v>194</v>
      </c>
      <c r="F113" s="16" t="n">
        <v>5</v>
      </c>
      <c r="G113" s="5" t="s">
        <v>198</v>
      </c>
      <c r="H113" s="16" t="s">
        <v>75</v>
      </c>
      <c r="I113" s="16" t="n">
        <v>1</v>
      </c>
      <c r="J113" s="16" t="s">
        <v>78</v>
      </c>
      <c r="K113" s="16" t="s">
        <v>10</v>
      </c>
      <c r="L113" s="10" t="n">
        <v>203969</v>
      </c>
      <c r="M113" s="18" t="n">
        <f aca="false">IF(L113="","",IFERROR(L113*INDEX(Trip!$E$5:$E$14,MATCH(K113,Trip!$D$5:$D$14,0))/INDEX(Trip!$E$5:$E$14,MATCH(Trip!$B$10,Trip!$D$5:$D$14,0)),""))</f>
        <v>2162.97985153765</v>
      </c>
      <c r="N113" s="18" t="n">
        <f aca="false">IF(OR(M113="",D113=""),"",M113/D113)</f>
        <v>432.595970307529</v>
      </c>
      <c r="O113" s="18" t="n">
        <f aca="false">IF(M113="","",M113*I113)</f>
        <v>2162.97985153765</v>
      </c>
      <c r="P113" s="17" t="n">
        <v>46375</v>
      </c>
      <c r="Q113" s="19" t="n">
        <f aca="true">IF(ISNUMBER(P113),P113-TODAY(),IF(P113="","",P113))</f>
        <v>73</v>
      </c>
      <c r="R113" s="16" t="s">
        <v>77</v>
      </c>
      <c r="S113" s="16"/>
      <c r="T113" s="16"/>
      <c r="U113" s="20"/>
      <c r="V113" s="18" t="n">
        <f aca="false">IF(M113="","",M113*(1+IF(U113="",Trip!$B$11,U113)))</f>
        <v>2487.42682926829</v>
      </c>
      <c r="W113" s="18" t="n">
        <f aca="false">IF(V113="","",V113*I113)</f>
        <v>2487.42682926829</v>
      </c>
      <c r="X113" s="21" t="str">
        <f aca="false">IF(OR(M113="",R113="Unavailable"),"",IF(M113=_xlfn.MINIFS($M$5:$M$604,$E$5:$E$604,E113,$G$5:$G$604,G113,$H$5:$H$604,H113,$R$5:$R$604,"&lt;&gt;Unavailable"),"⭐ Cheapest",""))</f>
        <v>⭐ Cheapest</v>
      </c>
      <c r="Y113" s="18" t="n">
        <f aca="false">IF(COUNTIFS($E$5:$E$604,E113,$G$5:$G$604,G113,$J$5:$J$604,"Booking.com")=0,"",_xlfn.MINIFS($M$5:$M$604,$E$5:$E$604,E113,$G$5:$G$604,G113,$J$5:$J$604,"Booking.com"))</f>
        <v>2162.97985153765</v>
      </c>
      <c r="Z113" s="18" t="str">
        <f aca="false">IF(OR(Y113="",M113="",J113="Booking.com"),"",Y113-M113)</f>
        <v/>
      </c>
      <c r="AA113" s="16"/>
      <c r="AB113" s="16"/>
      <c r="AC113" s="16"/>
      <c r="AD113" s="5"/>
    </row>
    <row r="114" customFormat="false" ht="23.85" hidden="false" customHeight="false" outlineLevel="0" collapsed="false">
      <c r="A114" s="15" t="n">
        <v>110</v>
      </c>
      <c r="B114" s="16" t="s">
        <v>181</v>
      </c>
      <c r="C114" s="17" t="n">
        <v>46383</v>
      </c>
      <c r="D114" s="16" t="n">
        <v>5</v>
      </c>
      <c r="E114" s="5" t="s">
        <v>194</v>
      </c>
      <c r="F114" s="16" t="n">
        <v>5</v>
      </c>
      <c r="G114" s="5" t="s">
        <v>199</v>
      </c>
      <c r="H114" s="16" t="s">
        <v>75</v>
      </c>
      <c r="I114" s="16" t="n">
        <v>1</v>
      </c>
      <c r="J114" s="16" t="s">
        <v>76</v>
      </c>
      <c r="K114" s="16" t="s">
        <v>10</v>
      </c>
      <c r="L114" s="10" t="n">
        <v>148764</v>
      </c>
      <c r="M114" s="18" t="n">
        <f aca="false">IF(L114="","",IFERROR(L114*INDEX(Trip!$E$5:$E$14,MATCH(K114,Trip!$D$5:$D$14,0))/INDEX(Trip!$E$5:$E$14,MATCH(Trip!$B$10,Trip!$D$5:$D$14,0)),""))</f>
        <v>1577.56097560976</v>
      </c>
      <c r="N114" s="18" t="n">
        <f aca="false">IF(OR(M114="",D114=""),"",M114/D114)</f>
        <v>315.512195121951</v>
      </c>
      <c r="O114" s="18" t="n">
        <f aca="false">IF(M114="","",M114*I114)</f>
        <v>1577.56097560976</v>
      </c>
      <c r="P114" s="17" t="n">
        <v>46362</v>
      </c>
      <c r="Q114" s="19" t="n">
        <f aca="true">IF(ISNUMBER(P114),P114-TODAY(),IF(P114="","",P114))</f>
        <v>60</v>
      </c>
      <c r="R114" s="16" t="s">
        <v>77</v>
      </c>
      <c r="S114" s="16"/>
      <c r="T114" s="16"/>
      <c r="U114" s="20"/>
      <c r="V114" s="18" t="n">
        <f aca="false">IF(M114="","",M114*(1+IF(U114="",Trip!$B$11,U114)))</f>
        <v>1814.19512195122</v>
      </c>
      <c r="W114" s="18" t="n">
        <f aca="false">IF(V114="","",V114*I114)</f>
        <v>1814.19512195122</v>
      </c>
      <c r="X114" s="21" t="str">
        <f aca="false">IF(OR(M114="",R114="Unavailable"),"",IF(M114=_xlfn.MINIFS($M$5:$M$604,$E$5:$E$604,E114,$G$5:$G$604,G114,$H$5:$H$604,H114,$R$5:$R$604,"&lt;&gt;Unavailable"),"⭐ Cheapest",""))</f>
        <v>⭐ Cheapest</v>
      </c>
      <c r="Y114" s="18" t="n">
        <f aca="false">IF(COUNTIFS($E$5:$E$604,E114,$G$5:$G$604,G114,$J$5:$J$604,"Booking.com")=0,"",_xlfn.MINIFS($M$5:$M$604,$E$5:$E$604,E114,$G$5:$G$604,G114,$J$5:$J$604,"Booking.com"))</f>
        <v>2162.97985153765</v>
      </c>
      <c r="Z114" s="18" t="n">
        <f aca="false">IF(OR(Y114="",M114="",J114="Booking.com"),"",Y114-M114)</f>
        <v>585.41887592789</v>
      </c>
      <c r="AA114" s="16"/>
      <c r="AB114" s="16"/>
      <c r="AC114" s="16"/>
      <c r="AD114" s="5"/>
    </row>
    <row r="115" customFormat="false" ht="23.85" hidden="false" customHeight="false" outlineLevel="0" collapsed="false">
      <c r="A115" s="15" t="n">
        <v>111</v>
      </c>
      <c r="B115" s="16" t="s">
        <v>181</v>
      </c>
      <c r="C115" s="17" t="n">
        <v>46383</v>
      </c>
      <c r="D115" s="16" t="n">
        <v>5</v>
      </c>
      <c r="E115" s="5" t="s">
        <v>194</v>
      </c>
      <c r="F115" s="16" t="n">
        <v>5</v>
      </c>
      <c r="G115" s="5" t="s">
        <v>199</v>
      </c>
      <c r="H115" s="16" t="s">
        <v>75</v>
      </c>
      <c r="I115" s="16" t="n">
        <v>1</v>
      </c>
      <c r="J115" s="16" t="s">
        <v>78</v>
      </c>
      <c r="K115" s="16" t="s">
        <v>10</v>
      </c>
      <c r="L115" s="10" t="n">
        <v>203969</v>
      </c>
      <c r="M115" s="18" t="n">
        <f aca="false">IF(L115="","",IFERROR(L115*INDEX(Trip!$E$5:$E$14,MATCH(K115,Trip!$D$5:$D$14,0))/INDEX(Trip!$E$5:$E$14,MATCH(Trip!$B$10,Trip!$D$5:$D$14,0)),""))</f>
        <v>2162.97985153765</v>
      </c>
      <c r="N115" s="18" t="n">
        <f aca="false">IF(OR(M115="",D115=""),"",M115/D115)</f>
        <v>432.595970307529</v>
      </c>
      <c r="O115" s="18" t="n">
        <f aca="false">IF(M115="","",M115*I115)</f>
        <v>2162.97985153765</v>
      </c>
      <c r="P115" s="17" t="n">
        <v>46375</v>
      </c>
      <c r="Q115" s="19" t="n">
        <f aca="true">IF(ISNUMBER(P115),P115-TODAY(),IF(P115="","",P115))</f>
        <v>73</v>
      </c>
      <c r="R115" s="16" t="s">
        <v>77</v>
      </c>
      <c r="S115" s="16"/>
      <c r="T115" s="16"/>
      <c r="U115" s="20"/>
      <c r="V115" s="18" t="n">
        <f aca="false">IF(M115="","",M115*(1+IF(U115="",Trip!$B$11,U115)))</f>
        <v>2487.42682926829</v>
      </c>
      <c r="W115" s="18" t="n">
        <f aca="false">IF(V115="","",V115*I115)</f>
        <v>2487.42682926829</v>
      </c>
      <c r="X115" s="21" t="str">
        <f aca="false">IF(OR(M115="",R115="Unavailable"),"",IF(M115=_xlfn.MINIFS($M$5:$M$604,$E$5:$E$604,E115,$G$5:$G$604,G115,$H$5:$H$604,H115,$R$5:$R$604,"&lt;&gt;Unavailable"),"⭐ Cheapest",""))</f>
        <v/>
      </c>
      <c r="Y115" s="18" t="n">
        <f aca="false">IF(COUNTIFS($E$5:$E$604,E115,$G$5:$G$604,G115,$J$5:$J$604,"Booking.com")=0,"",_xlfn.MINIFS($M$5:$M$604,$E$5:$E$604,E115,$G$5:$G$604,G115,$J$5:$J$604,"Booking.com"))</f>
        <v>2162.97985153765</v>
      </c>
      <c r="Z115" s="18" t="str">
        <f aca="false">IF(OR(Y115="",M115="",J115="Booking.com"),"",Y115-M115)</f>
        <v/>
      </c>
      <c r="AA115" s="16"/>
      <c r="AB115" s="16"/>
      <c r="AC115" s="16"/>
      <c r="AD115" s="5"/>
    </row>
    <row r="116" customFormat="false" ht="15" hidden="false" customHeight="false" outlineLevel="0" collapsed="false">
      <c r="A116" s="15" t="n">
        <v>112</v>
      </c>
      <c r="B116" s="16" t="s">
        <v>181</v>
      </c>
      <c r="C116" s="17" t="n">
        <v>46383</v>
      </c>
      <c r="D116" s="16" t="n">
        <v>5</v>
      </c>
      <c r="E116" s="5" t="s">
        <v>194</v>
      </c>
      <c r="F116" s="16" t="n">
        <v>5</v>
      </c>
      <c r="G116" s="5" t="s">
        <v>200</v>
      </c>
      <c r="H116" s="16" t="s">
        <v>75</v>
      </c>
      <c r="I116" s="16" t="n">
        <v>1</v>
      </c>
      <c r="J116" s="16" t="s">
        <v>111</v>
      </c>
      <c r="K116" s="16" t="s">
        <v>13</v>
      </c>
      <c r="L116" s="10" t="n">
        <v>3325</v>
      </c>
      <c r="M116" s="18" t="n">
        <f aca="false">IF(L116="","",IFERROR(L116*INDEX(Trip!$E$5:$E$14,MATCH(K116,Trip!$D$5:$D$14,0))/INDEX(Trip!$E$5:$E$14,MATCH(Trip!$B$10,Trip!$D$5:$D$14,0)),""))</f>
        <v>3325</v>
      </c>
      <c r="N116" s="18" t="n">
        <f aca="false">IF(OR(M116="",D116=""),"",M116/D116)</f>
        <v>665</v>
      </c>
      <c r="O116" s="18" t="n">
        <f aca="false">IF(M116="","",M116*I116)</f>
        <v>3325</v>
      </c>
      <c r="P116" s="17" t="n">
        <v>46376</v>
      </c>
      <c r="Q116" s="19" t="n">
        <f aca="true">IF(ISNUMBER(P116),P116-TODAY(),IF(P116="","",P116))</f>
        <v>74</v>
      </c>
      <c r="R116" s="16" t="s">
        <v>77</v>
      </c>
      <c r="S116" s="16"/>
      <c r="T116" s="16"/>
      <c r="U116" s="20"/>
      <c r="V116" s="18" t="n">
        <f aca="false">IF(M116="","",M116*(1+IF(U116="",Trip!$B$11,U116)))</f>
        <v>3823.75</v>
      </c>
      <c r="W116" s="18" t="n">
        <f aca="false">IF(V116="","",V116*I116)</f>
        <v>3823.75</v>
      </c>
      <c r="X116" s="21" t="str">
        <f aca="false">IF(OR(M116="",R116="Unavailable"),"",IF(M116=_xlfn.MINIFS($M$5:$M$604,$E$5:$E$604,E116,$G$5:$G$604,G116,$H$5:$H$604,H116,$R$5:$R$604,"&lt;&gt;Unavailable"),"⭐ Cheapest",""))</f>
        <v/>
      </c>
      <c r="Y116" s="18" t="n">
        <f aca="false">IF(COUNTIFS($E$5:$E$604,E116,$G$5:$G$604,G116,$J$5:$J$604,"Booking.com")=0,"",_xlfn.MINIFS($M$5:$M$604,$E$5:$E$604,E116,$G$5:$G$604,G116,$J$5:$J$604,"Booking.com"))</f>
        <v>2433.35100742312</v>
      </c>
      <c r="Z116" s="18" t="n">
        <f aca="false">IF(OR(Y116="",M116="",J116="Booking.com"),"",Y116-M116)</f>
        <v>-891.648992576882</v>
      </c>
      <c r="AA116" s="16"/>
      <c r="AB116" s="16"/>
      <c r="AC116" s="16"/>
      <c r="AD116" s="5" t="s">
        <v>196</v>
      </c>
    </row>
    <row r="117" customFormat="false" ht="15" hidden="false" customHeight="false" outlineLevel="0" collapsed="false">
      <c r="A117" s="15" t="n">
        <v>113</v>
      </c>
      <c r="B117" s="16" t="s">
        <v>181</v>
      </c>
      <c r="C117" s="17" t="n">
        <v>46383</v>
      </c>
      <c r="D117" s="16" t="n">
        <v>5</v>
      </c>
      <c r="E117" s="5" t="s">
        <v>194</v>
      </c>
      <c r="F117" s="16" t="n">
        <v>5</v>
      </c>
      <c r="G117" s="5" t="s">
        <v>200</v>
      </c>
      <c r="H117" s="16" t="s">
        <v>75</v>
      </c>
      <c r="I117" s="16" t="n">
        <v>1</v>
      </c>
      <c r="J117" s="16" t="s">
        <v>78</v>
      </c>
      <c r="K117" s="16" t="s">
        <v>10</v>
      </c>
      <c r="L117" s="10" t="n">
        <v>229465</v>
      </c>
      <c r="M117" s="18" t="n">
        <f aca="false">IF(L117="","",IFERROR(L117*INDEX(Trip!$E$5:$E$14,MATCH(K117,Trip!$D$5:$D$14,0))/INDEX(Trip!$E$5:$E$14,MATCH(Trip!$B$10,Trip!$D$5:$D$14,0)),""))</f>
        <v>2433.35100742312</v>
      </c>
      <c r="N117" s="18" t="n">
        <f aca="false">IF(OR(M117="",D117=""),"",M117/D117)</f>
        <v>486.670201484624</v>
      </c>
      <c r="O117" s="18" t="n">
        <f aca="false">IF(M117="","",M117*I117)</f>
        <v>2433.35100742312</v>
      </c>
      <c r="P117" s="17" t="n">
        <v>46375</v>
      </c>
      <c r="Q117" s="19" t="n">
        <f aca="true">IF(ISNUMBER(P117),P117-TODAY(),IF(P117="","",P117))</f>
        <v>73</v>
      </c>
      <c r="R117" s="16" t="s">
        <v>77</v>
      </c>
      <c r="S117" s="16"/>
      <c r="T117" s="16"/>
      <c r="U117" s="20"/>
      <c r="V117" s="18" t="n">
        <f aca="false">IF(M117="","",M117*(1+IF(U117="",Trip!$B$11,U117)))</f>
        <v>2798.35365853659</v>
      </c>
      <c r="W117" s="18" t="n">
        <f aca="false">IF(V117="","",V117*I117)</f>
        <v>2798.35365853659</v>
      </c>
      <c r="X117" s="21" t="str">
        <f aca="false">IF(OR(M117="",R117="Unavailable"),"",IF(M117=_xlfn.MINIFS($M$5:$M$604,$E$5:$E$604,E117,$G$5:$G$604,G117,$H$5:$H$604,H117,$R$5:$R$604,"&lt;&gt;Unavailable"),"⭐ Cheapest",""))</f>
        <v>⭐ Cheapest</v>
      </c>
      <c r="Y117" s="18" t="n">
        <f aca="false">IF(COUNTIFS($E$5:$E$604,E117,$G$5:$G$604,G117,$J$5:$J$604,"Booking.com")=0,"",_xlfn.MINIFS($M$5:$M$604,$E$5:$E$604,E117,$G$5:$G$604,G117,$J$5:$J$604,"Booking.com"))</f>
        <v>2433.35100742312</v>
      </c>
      <c r="Z117" s="18" t="str">
        <f aca="false">IF(OR(Y117="",M117="",J117="Booking.com"),"",Y117-M117)</f>
        <v/>
      </c>
      <c r="AA117" s="16"/>
      <c r="AB117" s="16"/>
      <c r="AC117" s="16"/>
      <c r="AD117" s="5"/>
    </row>
    <row r="118" customFormat="false" ht="23.85" hidden="false" customHeight="false" outlineLevel="0" collapsed="false">
      <c r="A118" s="15" t="n">
        <v>114</v>
      </c>
      <c r="B118" s="16" t="s">
        <v>181</v>
      </c>
      <c r="C118" s="17" t="n">
        <v>46383</v>
      </c>
      <c r="D118" s="16" t="n">
        <v>5</v>
      </c>
      <c r="E118" s="5" t="s">
        <v>194</v>
      </c>
      <c r="F118" s="16" t="n">
        <v>5</v>
      </c>
      <c r="G118" s="5" t="s">
        <v>201</v>
      </c>
      <c r="H118" s="16" t="s">
        <v>75</v>
      </c>
      <c r="I118" s="16" t="n">
        <v>1</v>
      </c>
      <c r="J118" s="16" t="s">
        <v>76</v>
      </c>
      <c r="K118" s="16" t="s">
        <v>10</v>
      </c>
      <c r="L118" s="10" t="n">
        <v>195487</v>
      </c>
      <c r="M118" s="18" t="n">
        <f aca="false">IF(L118="","",IFERROR(L118*INDEX(Trip!$E$5:$E$14,MATCH(K118,Trip!$D$5:$D$14,0))/INDEX(Trip!$E$5:$E$14,MATCH(Trip!$B$10,Trip!$D$5:$D$14,0)),""))</f>
        <v>2073.032873807</v>
      </c>
      <c r="N118" s="18" t="n">
        <f aca="false">IF(OR(M118="",D118=""),"",M118/D118)</f>
        <v>414.6065747614</v>
      </c>
      <c r="O118" s="18" t="n">
        <f aca="false">IF(M118="","",M118*I118)</f>
        <v>2073.032873807</v>
      </c>
      <c r="P118" s="17" t="n">
        <v>46360</v>
      </c>
      <c r="Q118" s="19" t="n">
        <f aca="true">IF(ISNUMBER(P118),P118-TODAY(),IF(P118="","",P118))</f>
        <v>58</v>
      </c>
      <c r="R118" s="16" t="s">
        <v>77</v>
      </c>
      <c r="S118" s="16"/>
      <c r="T118" s="16"/>
      <c r="U118" s="20"/>
      <c r="V118" s="18" t="n">
        <f aca="false">IF(M118="","",M118*(1+IF(U118="",Trip!$B$11,U118)))</f>
        <v>2383.98780487805</v>
      </c>
      <c r="W118" s="18" t="n">
        <f aca="false">IF(V118="","",V118*I118)</f>
        <v>2383.98780487805</v>
      </c>
      <c r="X118" s="21" t="str">
        <f aca="false">IF(OR(M118="",R118="Unavailable"),"",IF(M118=_xlfn.MINIFS($M$5:$M$604,$E$5:$E$604,E118,$G$5:$G$604,G118,$H$5:$H$604,H118,$R$5:$R$604,"&lt;&gt;Unavailable"),"⭐ Cheapest",""))</f>
        <v>⭐ Cheapest</v>
      </c>
      <c r="Y118" s="18" t="n">
        <f aca="false">IF(COUNTIFS($E$5:$E$604,E118,$G$5:$G$604,G118,$J$5:$J$604,"Booking.com")=0,"",_xlfn.MINIFS($M$5:$M$604,$E$5:$E$604,E118,$G$5:$G$604,G118,$J$5:$J$604,"Booking.com"))</f>
        <v>2433.35100742312</v>
      </c>
      <c r="Z118" s="18" t="n">
        <f aca="false">IF(OR(Y118="",M118="",J118="Booking.com"),"",Y118-M118)</f>
        <v>360.318133616119</v>
      </c>
      <c r="AA118" s="16"/>
      <c r="AB118" s="16"/>
      <c r="AC118" s="16"/>
      <c r="AD118" s="5"/>
    </row>
    <row r="119" customFormat="false" ht="23.85" hidden="false" customHeight="false" outlineLevel="0" collapsed="false">
      <c r="A119" s="15" t="n">
        <v>115</v>
      </c>
      <c r="B119" s="16" t="s">
        <v>181</v>
      </c>
      <c r="C119" s="17" t="n">
        <v>46383</v>
      </c>
      <c r="D119" s="16" t="n">
        <v>5</v>
      </c>
      <c r="E119" s="5" t="s">
        <v>194</v>
      </c>
      <c r="F119" s="16" t="n">
        <v>5</v>
      </c>
      <c r="G119" s="5" t="s">
        <v>201</v>
      </c>
      <c r="H119" s="16" t="s">
        <v>75</v>
      </c>
      <c r="I119" s="16" t="n">
        <v>1</v>
      </c>
      <c r="J119" s="16" t="s">
        <v>78</v>
      </c>
      <c r="K119" s="16" t="s">
        <v>10</v>
      </c>
      <c r="L119" s="10" t="n">
        <v>229465</v>
      </c>
      <c r="M119" s="18" t="n">
        <f aca="false">IF(L119="","",IFERROR(L119*INDEX(Trip!$E$5:$E$14,MATCH(K119,Trip!$D$5:$D$14,0))/INDEX(Trip!$E$5:$E$14,MATCH(Trip!$B$10,Trip!$D$5:$D$14,0)),""))</f>
        <v>2433.35100742312</v>
      </c>
      <c r="N119" s="18" t="n">
        <f aca="false">IF(OR(M119="",D119=""),"",M119/D119)</f>
        <v>486.670201484624</v>
      </c>
      <c r="O119" s="18" t="n">
        <f aca="false">IF(M119="","",M119*I119)</f>
        <v>2433.35100742312</v>
      </c>
      <c r="P119" s="17" t="n">
        <v>46375</v>
      </c>
      <c r="Q119" s="19" t="n">
        <f aca="true">IF(ISNUMBER(P119),P119-TODAY(),IF(P119="","",P119))</f>
        <v>73</v>
      </c>
      <c r="R119" s="16" t="s">
        <v>77</v>
      </c>
      <c r="S119" s="16"/>
      <c r="T119" s="16"/>
      <c r="U119" s="20"/>
      <c r="V119" s="18" t="n">
        <f aca="false">IF(M119="","",M119*(1+IF(U119="",Trip!$B$11,U119)))</f>
        <v>2798.35365853659</v>
      </c>
      <c r="W119" s="18" t="n">
        <f aca="false">IF(V119="","",V119*I119)</f>
        <v>2798.35365853659</v>
      </c>
      <c r="X119" s="21" t="str">
        <f aca="false">IF(OR(M119="",R119="Unavailable"),"",IF(M119=_xlfn.MINIFS($M$5:$M$604,$E$5:$E$604,E119,$G$5:$G$604,G119,$H$5:$H$604,H119,$R$5:$R$604,"&lt;&gt;Unavailable"),"⭐ Cheapest",""))</f>
        <v/>
      </c>
      <c r="Y119" s="18" t="n">
        <f aca="false">IF(COUNTIFS($E$5:$E$604,E119,$G$5:$G$604,G119,$J$5:$J$604,"Booking.com")=0,"",_xlfn.MINIFS($M$5:$M$604,$E$5:$E$604,E119,$G$5:$G$604,G119,$J$5:$J$604,"Booking.com"))</f>
        <v>2433.35100742312</v>
      </c>
      <c r="Z119" s="18" t="str">
        <f aca="false">IF(OR(Y119="",M119="",J119="Booking.com"),"",Y119-M119)</f>
        <v/>
      </c>
      <c r="AA119" s="16"/>
      <c r="AB119" s="16"/>
      <c r="AC119" s="16"/>
      <c r="AD119" s="5"/>
    </row>
    <row r="120" customFormat="false" ht="15" hidden="false" customHeight="false" outlineLevel="0" collapsed="false">
      <c r="A120" s="15" t="n">
        <v>116</v>
      </c>
      <c r="B120" s="16" t="s">
        <v>181</v>
      </c>
      <c r="C120" s="17" t="n">
        <v>46383</v>
      </c>
      <c r="D120" s="16" t="n">
        <v>5</v>
      </c>
      <c r="E120" s="5" t="s">
        <v>194</v>
      </c>
      <c r="F120" s="16" t="n">
        <v>5</v>
      </c>
      <c r="G120" s="5" t="s">
        <v>202</v>
      </c>
      <c r="H120" s="16" t="s">
        <v>75</v>
      </c>
      <c r="I120" s="16" t="n">
        <v>1</v>
      </c>
      <c r="J120" s="16" t="s">
        <v>111</v>
      </c>
      <c r="K120" s="16" t="s">
        <v>13</v>
      </c>
      <c r="L120" s="10" t="n">
        <v>3170</v>
      </c>
      <c r="M120" s="18" t="n">
        <f aca="false">IF(L120="","",IFERROR(L120*INDEX(Trip!$E$5:$E$14,MATCH(K120,Trip!$D$5:$D$14,0))/INDEX(Trip!$E$5:$E$14,MATCH(Trip!$B$10,Trip!$D$5:$D$14,0)),""))</f>
        <v>3170</v>
      </c>
      <c r="N120" s="18" t="n">
        <f aca="false">IF(OR(M120="",D120=""),"",M120/D120)</f>
        <v>634</v>
      </c>
      <c r="O120" s="18" t="n">
        <f aca="false">IF(M120="","",M120*I120)</f>
        <v>3170</v>
      </c>
      <c r="P120" s="17" t="n">
        <v>46376</v>
      </c>
      <c r="Q120" s="19" t="n">
        <f aca="true">IF(ISNUMBER(P120),P120-TODAY(),IF(P120="","",P120))</f>
        <v>74</v>
      </c>
      <c r="R120" s="16" t="s">
        <v>77</v>
      </c>
      <c r="S120" s="16"/>
      <c r="T120" s="16"/>
      <c r="U120" s="20"/>
      <c r="V120" s="18" t="n">
        <f aca="false">IF(M120="","",M120*(1+IF(U120="",Trip!$B$11,U120)))</f>
        <v>3645.5</v>
      </c>
      <c r="W120" s="18" t="n">
        <f aca="false">IF(V120="","",V120*I120)</f>
        <v>3645.5</v>
      </c>
      <c r="X120" s="21" t="str">
        <f aca="false">IF(OR(M120="",R120="Unavailable"),"",IF(M120=_xlfn.MINIFS($M$5:$M$604,$E$5:$E$604,E120,$G$5:$G$604,G120,$H$5:$H$604,H120,$R$5:$R$604,"&lt;&gt;Unavailable"),"⭐ Cheapest",""))</f>
        <v/>
      </c>
      <c r="Y120" s="18" t="n">
        <f aca="false">IF(COUNTIFS($E$5:$E$604,E120,$G$5:$G$604,G120,$J$5:$J$604,"Booking.com")=0,"",_xlfn.MINIFS($M$5:$M$604,$E$5:$E$604,E120,$G$5:$G$604,G120,$J$5:$J$604,"Booking.com"))</f>
        <v>2433.35100742312</v>
      </c>
      <c r="Z120" s="18" t="n">
        <f aca="false">IF(OR(Y120="",M120="",J120="Booking.com"),"",Y120-M120)</f>
        <v>-736.648992576882</v>
      </c>
      <c r="AA120" s="16"/>
      <c r="AB120" s="16"/>
      <c r="AC120" s="16"/>
      <c r="AD120" s="5" t="s">
        <v>196</v>
      </c>
    </row>
    <row r="121" customFormat="false" ht="15" hidden="false" customHeight="false" outlineLevel="0" collapsed="false">
      <c r="A121" s="15" t="n">
        <v>117</v>
      </c>
      <c r="B121" s="16" t="s">
        <v>181</v>
      </c>
      <c r="C121" s="17" t="n">
        <v>46383</v>
      </c>
      <c r="D121" s="16" t="n">
        <v>5</v>
      </c>
      <c r="E121" s="5" t="s">
        <v>194</v>
      </c>
      <c r="F121" s="16" t="n">
        <v>5</v>
      </c>
      <c r="G121" s="5" t="s">
        <v>202</v>
      </c>
      <c r="H121" s="16" t="s">
        <v>75</v>
      </c>
      <c r="I121" s="16" t="n">
        <v>1</v>
      </c>
      <c r="J121" s="16" t="s">
        <v>78</v>
      </c>
      <c r="K121" s="16" t="s">
        <v>10</v>
      </c>
      <c r="L121" s="10" t="n">
        <v>229465</v>
      </c>
      <c r="M121" s="18" t="n">
        <f aca="false">IF(L121="","",IFERROR(L121*INDEX(Trip!$E$5:$E$14,MATCH(K121,Trip!$D$5:$D$14,0))/INDEX(Trip!$E$5:$E$14,MATCH(Trip!$B$10,Trip!$D$5:$D$14,0)),""))</f>
        <v>2433.35100742312</v>
      </c>
      <c r="N121" s="18" t="n">
        <f aca="false">IF(OR(M121="",D121=""),"",M121/D121)</f>
        <v>486.670201484624</v>
      </c>
      <c r="O121" s="18" t="n">
        <f aca="false">IF(M121="","",M121*I121)</f>
        <v>2433.35100742312</v>
      </c>
      <c r="P121" s="17" t="n">
        <v>46375</v>
      </c>
      <c r="Q121" s="19" t="n">
        <f aca="true">IF(ISNUMBER(P121),P121-TODAY(),IF(P121="","",P121))</f>
        <v>73</v>
      </c>
      <c r="R121" s="16" t="s">
        <v>77</v>
      </c>
      <c r="S121" s="16"/>
      <c r="T121" s="16"/>
      <c r="U121" s="20"/>
      <c r="V121" s="18" t="n">
        <f aca="false">IF(M121="","",M121*(1+IF(U121="",Trip!$B$11,U121)))</f>
        <v>2798.35365853659</v>
      </c>
      <c r="W121" s="18" t="n">
        <f aca="false">IF(V121="","",V121*I121)</f>
        <v>2798.35365853659</v>
      </c>
      <c r="X121" s="21" t="str">
        <f aca="false">IF(OR(M121="",R121="Unavailable"),"",IF(M121=_xlfn.MINIFS($M$5:$M$604,$E$5:$E$604,E121,$G$5:$G$604,G121,$H$5:$H$604,H121,$R$5:$R$604,"&lt;&gt;Unavailable"),"⭐ Cheapest",""))</f>
        <v>⭐ Cheapest</v>
      </c>
      <c r="Y121" s="18" t="n">
        <f aca="false">IF(COUNTIFS($E$5:$E$604,E121,$G$5:$G$604,G121,$J$5:$J$604,"Booking.com")=0,"",_xlfn.MINIFS($M$5:$M$604,$E$5:$E$604,E121,$G$5:$G$604,G121,$J$5:$J$604,"Booking.com"))</f>
        <v>2433.35100742312</v>
      </c>
      <c r="Z121" s="18" t="str">
        <f aca="false">IF(OR(Y121="",M121="",J121="Booking.com"),"",Y121-M121)</f>
        <v/>
      </c>
      <c r="AA121" s="16"/>
      <c r="AB121" s="16"/>
      <c r="AC121" s="16"/>
      <c r="AD121" s="5"/>
    </row>
    <row r="122" customFormat="false" ht="23.85" hidden="false" customHeight="false" outlineLevel="0" collapsed="false">
      <c r="A122" s="15" t="n">
        <v>118</v>
      </c>
      <c r="B122" s="16" t="s">
        <v>181</v>
      </c>
      <c r="C122" s="17" t="n">
        <v>46383</v>
      </c>
      <c r="D122" s="16" t="n">
        <v>5</v>
      </c>
      <c r="E122" s="5" t="s">
        <v>194</v>
      </c>
      <c r="F122" s="16" t="n">
        <v>5</v>
      </c>
      <c r="G122" s="5" t="s">
        <v>203</v>
      </c>
      <c r="H122" s="16" t="s">
        <v>75</v>
      </c>
      <c r="I122" s="16" t="n">
        <v>1</v>
      </c>
      <c r="J122" s="16" t="s">
        <v>76</v>
      </c>
      <c r="K122" s="16" t="s">
        <v>10</v>
      </c>
      <c r="L122" s="10" t="n">
        <v>161907</v>
      </c>
      <c r="M122" s="18" t="n">
        <f aca="false">IF(L122="","",IFERROR(L122*INDEX(Trip!$E$5:$E$14,MATCH(K122,Trip!$D$5:$D$14,0))/INDEX(Trip!$E$5:$E$14,MATCH(Trip!$B$10,Trip!$D$5:$D$14,0)),""))</f>
        <v>1716.93531283139</v>
      </c>
      <c r="N122" s="18" t="n">
        <f aca="false">IF(OR(M122="",D122=""),"",M122/D122)</f>
        <v>343.387062566278</v>
      </c>
      <c r="O122" s="18" t="n">
        <f aca="false">IF(M122="","",M122*I122)</f>
        <v>1716.93531283139</v>
      </c>
      <c r="P122" s="17" t="n">
        <v>46362</v>
      </c>
      <c r="Q122" s="19" t="n">
        <f aca="true">IF(ISNUMBER(P122),P122-TODAY(),IF(P122="","",P122))</f>
        <v>60</v>
      </c>
      <c r="R122" s="16" t="s">
        <v>77</v>
      </c>
      <c r="S122" s="16"/>
      <c r="T122" s="16"/>
      <c r="U122" s="20"/>
      <c r="V122" s="18" t="n">
        <f aca="false">IF(M122="","",M122*(1+IF(U122="",Trip!$B$11,U122)))</f>
        <v>1974.4756097561</v>
      </c>
      <c r="W122" s="18" t="n">
        <f aca="false">IF(V122="","",V122*I122)</f>
        <v>1974.4756097561</v>
      </c>
      <c r="X122" s="21" t="str">
        <f aca="false">IF(OR(M122="",R122="Unavailable"),"",IF(M122=_xlfn.MINIFS($M$5:$M$604,$E$5:$E$604,E122,$G$5:$G$604,G122,$H$5:$H$604,H122,$R$5:$R$604,"&lt;&gt;Unavailable"),"⭐ Cheapest",""))</f>
        <v>⭐ Cheapest</v>
      </c>
      <c r="Y122" s="18" t="n">
        <f aca="false">IF(COUNTIFS($E$5:$E$604,E122,$G$5:$G$604,G122,$J$5:$J$604,"Booking.com")=0,"",_xlfn.MINIFS($M$5:$M$604,$E$5:$E$604,E122,$G$5:$G$604,G122,$J$5:$J$604,"Booking.com"))</f>
        <v>2433.35100742312</v>
      </c>
      <c r="Z122" s="18" t="n">
        <f aca="false">IF(OR(Y122="",M122="",J122="Booking.com"),"",Y122-M122)</f>
        <v>716.415694591728</v>
      </c>
      <c r="AA122" s="16"/>
      <c r="AB122" s="16"/>
      <c r="AC122" s="16"/>
      <c r="AD122" s="5"/>
    </row>
    <row r="123" customFormat="false" ht="23.85" hidden="false" customHeight="false" outlineLevel="0" collapsed="false">
      <c r="A123" s="15" t="n">
        <v>119</v>
      </c>
      <c r="B123" s="16" t="s">
        <v>181</v>
      </c>
      <c r="C123" s="17" t="n">
        <v>46383</v>
      </c>
      <c r="D123" s="16" t="n">
        <v>5</v>
      </c>
      <c r="E123" s="5" t="s">
        <v>194</v>
      </c>
      <c r="F123" s="16" t="n">
        <v>5</v>
      </c>
      <c r="G123" s="5" t="s">
        <v>203</v>
      </c>
      <c r="H123" s="16" t="s">
        <v>75</v>
      </c>
      <c r="I123" s="16" t="n">
        <v>1</v>
      </c>
      <c r="J123" s="16" t="s">
        <v>78</v>
      </c>
      <c r="K123" s="16" t="s">
        <v>10</v>
      </c>
      <c r="L123" s="10" t="n">
        <v>229465</v>
      </c>
      <c r="M123" s="18" t="n">
        <f aca="false">IF(L123="","",IFERROR(L123*INDEX(Trip!$E$5:$E$14,MATCH(K123,Trip!$D$5:$D$14,0))/INDEX(Trip!$E$5:$E$14,MATCH(Trip!$B$10,Trip!$D$5:$D$14,0)),""))</f>
        <v>2433.35100742312</v>
      </c>
      <c r="N123" s="18" t="n">
        <f aca="false">IF(OR(M123="",D123=""),"",M123/D123)</f>
        <v>486.670201484624</v>
      </c>
      <c r="O123" s="18" t="n">
        <f aca="false">IF(M123="","",M123*I123)</f>
        <v>2433.35100742312</v>
      </c>
      <c r="P123" s="17" t="n">
        <v>46375</v>
      </c>
      <c r="Q123" s="19" t="n">
        <f aca="true">IF(ISNUMBER(P123),P123-TODAY(),IF(P123="","",P123))</f>
        <v>73</v>
      </c>
      <c r="R123" s="16" t="s">
        <v>77</v>
      </c>
      <c r="S123" s="16"/>
      <c r="T123" s="16"/>
      <c r="U123" s="20"/>
      <c r="V123" s="18" t="n">
        <f aca="false">IF(M123="","",M123*(1+IF(U123="",Trip!$B$11,U123)))</f>
        <v>2798.35365853659</v>
      </c>
      <c r="W123" s="18" t="n">
        <f aca="false">IF(V123="","",V123*I123)</f>
        <v>2798.35365853659</v>
      </c>
      <c r="X123" s="21" t="str">
        <f aca="false">IF(OR(M123="",R123="Unavailable"),"",IF(M123=_xlfn.MINIFS($M$5:$M$604,$E$5:$E$604,E123,$G$5:$G$604,G123,$H$5:$H$604,H123,$R$5:$R$604,"&lt;&gt;Unavailable"),"⭐ Cheapest",""))</f>
        <v/>
      </c>
      <c r="Y123" s="18" t="n">
        <f aca="false">IF(COUNTIFS($E$5:$E$604,E123,$G$5:$G$604,G123,$J$5:$J$604,"Booking.com")=0,"",_xlfn.MINIFS($M$5:$M$604,$E$5:$E$604,E123,$G$5:$G$604,G123,$J$5:$J$604,"Booking.com"))</f>
        <v>2433.35100742312</v>
      </c>
      <c r="Z123" s="18" t="str">
        <f aca="false">IF(OR(Y123="",M123="",J123="Booking.com"),"",Y123-M123)</f>
        <v/>
      </c>
      <c r="AA123" s="16"/>
      <c r="AB123" s="16"/>
      <c r="AC123" s="16"/>
      <c r="AD123" s="5"/>
    </row>
    <row r="124" customFormat="false" ht="15" hidden="false" customHeight="false" outlineLevel="0" collapsed="false">
      <c r="A124" s="15" t="n">
        <v>120</v>
      </c>
      <c r="B124" s="16" t="s">
        <v>181</v>
      </c>
      <c r="C124" s="17" t="n">
        <v>46383</v>
      </c>
      <c r="D124" s="16" t="n">
        <v>5</v>
      </c>
      <c r="E124" s="5" t="s">
        <v>204</v>
      </c>
      <c r="F124" s="16" t="n">
        <v>5</v>
      </c>
      <c r="G124" s="5" t="s">
        <v>205</v>
      </c>
      <c r="H124" s="16" t="s">
        <v>75</v>
      </c>
      <c r="I124" s="16" t="n">
        <v>1</v>
      </c>
      <c r="J124" s="16" t="s">
        <v>76</v>
      </c>
      <c r="K124" s="16" t="s">
        <v>10</v>
      </c>
      <c r="L124" s="10" t="n">
        <v>188966</v>
      </c>
      <c r="M124" s="18" t="n">
        <f aca="false">IF(L124="","",IFERROR(L124*INDEX(Trip!$E$5:$E$14,MATCH(K124,Trip!$D$5:$D$14,0))/INDEX(Trip!$E$5:$E$14,MATCH(Trip!$B$10,Trip!$D$5:$D$14,0)),""))</f>
        <v>2003.88123011665</v>
      </c>
      <c r="N124" s="18" t="n">
        <f aca="false">IF(OR(M124="",D124=""),"",M124/D124)</f>
        <v>400.77624602333</v>
      </c>
      <c r="O124" s="18" t="n">
        <f aca="false">IF(M124="","",M124*I124)</f>
        <v>2003.88123011665</v>
      </c>
      <c r="P124" s="17" t="n">
        <v>46350</v>
      </c>
      <c r="Q124" s="19" t="n">
        <f aca="true">IF(ISNUMBER(P124),P124-TODAY(),IF(P124="","",P124))</f>
        <v>48</v>
      </c>
      <c r="R124" s="16" t="s">
        <v>77</v>
      </c>
      <c r="S124" s="16"/>
      <c r="T124" s="16"/>
      <c r="U124" s="20"/>
      <c r="V124" s="18" t="n">
        <f aca="false">IF(M124="","",M124*(1+IF(U124="",Trip!$B$11,U124)))</f>
        <v>2304.46341463415</v>
      </c>
      <c r="W124" s="18" t="n">
        <f aca="false">IF(V124="","",V124*I124)</f>
        <v>2304.46341463415</v>
      </c>
      <c r="X124" s="21" t="str">
        <f aca="false">IF(OR(M124="",R124="Unavailable"),"",IF(M124=_xlfn.MINIFS($M$5:$M$604,$E$5:$E$604,E124,$G$5:$G$604,G124,$H$5:$H$604,H124,$R$5:$R$604,"&lt;&gt;Unavailable"),"⭐ Cheapest",""))</f>
        <v>⭐ Cheapest</v>
      </c>
      <c r="Y124" s="18" t="str">
        <f aca="false">IF(COUNTIFS($E$5:$E$604,E124,$G$5:$G$604,G124,$J$5:$J$604,"Booking.com")=0,"",_xlfn.MINIFS($M$5:$M$604,$E$5:$E$604,E124,$G$5:$G$604,G124,$J$5:$J$604,"Booking.com"))</f>
        <v/>
      </c>
      <c r="Z124" s="18" t="str">
        <f aca="false">IF(OR(Y124="",M124="",J124="Booking.com"),"",Y124-M124)</f>
        <v/>
      </c>
      <c r="AA124" s="16"/>
      <c r="AB124" s="16"/>
      <c r="AC124" s="16"/>
      <c r="AD124" s="5"/>
    </row>
    <row r="125" customFormat="false" ht="15" hidden="false" customHeight="false" outlineLevel="0" collapsed="false">
      <c r="A125" s="15" t="n">
        <v>121</v>
      </c>
      <c r="B125" s="16" t="s">
        <v>206</v>
      </c>
      <c r="C125" s="17" t="n">
        <v>46388</v>
      </c>
      <c r="D125" s="16" t="n">
        <v>1</v>
      </c>
      <c r="E125" s="5" t="s">
        <v>207</v>
      </c>
      <c r="F125" s="16"/>
      <c r="G125" s="5" t="s">
        <v>208</v>
      </c>
      <c r="H125" s="16" t="s">
        <v>209</v>
      </c>
      <c r="I125" s="16" t="n">
        <v>1</v>
      </c>
      <c r="J125" s="16" t="s">
        <v>76</v>
      </c>
      <c r="K125" s="16" t="s">
        <v>10</v>
      </c>
      <c r="L125" s="10" t="n">
        <v>11654</v>
      </c>
      <c r="M125" s="18" t="n">
        <f aca="false">IF(L125="","",IFERROR(L125*INDEX(Trip!$E$5:$E$14,MATCH(K125,Trip!$D$5:$D$14,0))/INDEX(Trip!$E$5:$E$14,MATCH(Trip!$B$10,Trip!$D$5:$D$14,0)),""))</f>
        <v>123.584305408271</v>
      </c>
      <c r="N125" s="18" t="n">
        <f aca="false">IF(OR(M125="",D125=""),"",M125/D125)</f>
        <v>123.584305408271</v>
      </c>
      <c r="O125" s="18" t="n">
        <f aca="false">IF(M125="","",M125*I125)</f>
        <v>123.584305408271</v>
      </c>
      <c r="P125" s="17" t="n">
        <v>46373</v>
      </c>
      <c r="Q125" s="19" t="n">
        <f aca="true">IF(ISNUMBER(P125),P125-TODAY(),IF(P125="","",P125))</f>
        <v>71</v>
      </c>
      <c r="R125" s="16" t="s">
        <v>77</v>
      </c>
      <c r="S125" s="16"/>
      <c r="T125" s="16"/>
      <c r="U125" s="20"/>
      <c r="V125" s="18" t="n">
        <f aca="false">IF(M125="","",M125*(1+IF(U125="",Trip!$B$11,U125)))</f>
        <v>142.121951219512</v>
      </c>
      <c r="W125" s="18" t="n">
        <f aca="false">IF(V125="","",V125*I125)</f>
        <v>142.121951219512</v>
      </c>
      <c r="X125" s="21" t="str">
        <f aca="false">IF(OR(M125="",R125="Unavailable"),"",IF(M125=_xlfn.MINIFS($M$5:$M$604,$E$5:$E$604,E125,$G$5:$G$604,G125,$H$5:$H$604,H125,$R$5:$R$604,"&lt;&gt;Unavailable"),"⭐ Cheapest",""))</f>
        <v>⭐ Cheapest</v>
      </c>
      <c r="Y125" s="18" t="n">
        <f aca="false">IF(COUNTIFS($E$5:$E$604,E125,$G$5:$G$604,G125,$J$5:$J$604,"Booking.com")=0,"",_xlfn.MINIFS($M$5:$M$604,$E$5:$E$604,E125,$G$5:$G$604,G125,$J$5:$J$604,"Booking.com"))</f>
        <v>127.804878048781</v>
      </c>
      <c r="Z125" s="18" t="n">
        <f aca="false">IF(OR(Y125="",M125="",J125="Booking.com"),"",Y125-M125)</f>
        <v>4.22057264050902</v>
      </c>
      <c r="AA125" s="16"/>
      <c r="AB125" s="16"/>
      <c r="AC125" s="16"/>
      <c r="AD125" s="5"/>
    </row>
    <row r="126" customFormat="false" ht="15" hidden="false" customHeight="false" outlineLevel="0" collapsed="false">
      <c r="A126" s="15" t="n">
        <v>122</v>
      </c>
      <c r="B126" s="16" t="s">
        <v>206</v>
      </c>
      <c r="C126" s="17" t="n">
        <v>46388</v>
      </c>
      <c r="D126" s="16" t="n">
        <v>1</v>
      </c>
      <c r="E126" s="5" t="s">
        <v>207</v>
      </c>
      <c r="F126" s="16"/>
      <c r="G126" s="5" t="s">
        <v>208</v>
      </c>
      <c r="H126" s="16" t="s">
        <v>209</v>
      </c>
      <c r="I126" s="16" t="n">
        <v>1</v>
      </c>
      <c r="J126" s="16" t="s">
        <v>78</v>
      </c>
      <c r="K126" s="16" t="s">
        <v>10</v>
      </c>
      <c r="L126" s="10" t="n">
        <v>12052</v>
      </c>
      <c r="M126" s="18" t="n">
        <f aca="false">IF(L126="","",IFERROR(L126*INDEX(Trip!$E$5:$E$14,MATCH(K126,Trip!$D$5:$D$14,0))/INDEX(Trip!$E$5:$E$14,MATCH(Trip!$B$10,Trip!$D$5:$D$14,0)),""))</f>
        <v>127.804878048781</v>
      </c>
      <c r="N126" s="18" t="n">
        <f aca="false">IF(OR(M126="",D126=""),"",M126/D126)</f>
        <v>127.804878048781</v>
      </c>
      <c r="O126" s="18" t="n">
        <f aca="false">IF(M126="","",M126*I126)</f>
        <v>127.804878048781</v>
      </c>
      <c r="P126" s="17" t="n">
        <v>46386</v>
      </c>
      <c r="Q126" s="19" t="n">
        <f aca="true">IF(ISNUMBER(P126),P126-TODAY(),IF(P126="","",P126))</f>
        <v>84</v>
      </c>
      <c r="R126" s="16" t="s">
        <v>77</v>
      </c>
      <c r="S126" s="16"/>
      <c r="T126" s="16"/>
      <c r="U126" s="20"/>
      <c r="V126" s="18" t="n">
        <f aca="false">IF(M126="","",M126*(1+IF(U126="",Trip!$B$11,U126)))</f>
        <v>146.975609756098</v>
      </c>
      <c r="W126" s="18" t="n">
        <f aca="false">IF(V126="","",V126*I126)</f>
        <v>146.975609756098</v>
      </c>
      <c r="X126" s="21" t="str">
        <f aca="false">IF(OR(M126="",R126="Unavailable"),"",IF(M126=_xlfn.MINIFS($M$5:$M$604,$E$5:$E$604,E126,$G$5:$G$604,G126,$H$5:$H$604,H126,$R$5:$R$604,"&lt;&gt;Unavailable"),"⭐ Cheapest",""))</f>
        <v/>
      </c>
      <c r="Y126" s="18" t="n">
        <f aca="false">IF(COUNTIFS($E$5:$E$604,E126,$G$5:$G$604,G126,$J$5:$J$604,"Booking.com")=0,"",_xlfn.MINIFS($M$5:$M$604,$E$5:$E$604,E126,$G$5:$G$604,G126,$J$5:$J$604,"Booking.com"))</f>
        <v>127.804878048781</v>
      </c>
      <c r="Z126" s="18" t="str">
        <f aca="false">IF(OR(Y126="",M126="",J126="Booking.com"),"",Y126-M126)</f>
        <v/>
      </c>
      <c r="AA126" s="16"/>
      <c r="AB126" s="16"/>
      <c r="AC126" s="16"/>
      <c r="AD126" s="5"/>
    </row>
    <row r="127" customFormat="false" ht="15" hidden="false" customHeight="false" outlineLevel="0" collapsed="false">
      <c r="A127" s="15" t="n">
        <v>123</v>
      </c>
      <c r="B127" s="16" t="s">
        <v>206</v>
      </c>
      <c r="C127" s="17" t="n">
        <v>46388</v>
      </c>
      <c r="D127" s="16" t="n">
        <v>1</v>
      </c>
      <c r="E127" s="5" t="s">
        <v>207</v>
      </c>
      <c r="F127" s="16"/>
      <c r="G127" s="5" t="s">
        <v>208</v>
      </c>
      <c r="H127" s="16" t="s">
        <v>209</v>
      </c>
      <c r="I127" s="16" t="n">
        <v>1</v>
      </c>
      <c r="J127" s="16" t="s">
        <v>111</v>
      </c>
      <c r="K127" s="16" t="s">
        <v>13</v>
      </c>
      <c r="L127" s="10" t="n">
        <v>140</v>
      </c>
      <c r="M127" s="18" t="n">
        <f aca="false">IF(L127="","",IFERROR(L127*INDEX(Trip!$E$5:$E$14,MATCH(K127,Trip!$D$5:$D$14,0))/INDEX(Trip!$E$5:$E$14,MATCH(Trip!$B$10,Trip!$D$5:$D$14,0)),""))</f>
        <v>140</v>
      </c>
      <c r="N127" s="18" t="n">
        <f aca="false">IF(OR(M127="",D127=""),"",M127/D127)</f>
        <v>140</v>
      </c>
      <c r="O127" s="18" t="n">
        <f aca="false">IF(M127="","",M127*I127)</f>
        <v>140</v>
      </c>
      <c r="P127" s="17" t="n">
        <v>46386</v>
      </c>
      <c r="Q127" s="19" t="n">
        <f aca="true">IF(ISNUMBER(P127),P127-TODAY(),IF(P127="","",P127))</f>
        <v>84</v>
      </c>
      <c r="R127" s="16" t="s">
        <v>77</v>
      </c>
      <c r="S127" s="16"/>
      <c r="T127" s="16"/>
      <c r="U127" s="20"/>
      <c r="V127" s="18" t="n">
        <f aca="false">IF(M127="","",M127*(1+IF(U127="",Trip!$B$11,U127)))</f>
        <v>161</v>
      </c>
      <c r="W127" s="18" t="n">
        <f aca="false">IF(V127="","",V127*I127)</f>
        <v>161</v>
      </c>
      <c r="X127" s="21" t="str">
        <f aca="false">IF(OR(M127="",R127="Unavailable"),"",IF(M127=_xlfn.MINIFS($M$5:$M$604,$E$5:$E$604,E127,$G$5:$G$604,G127,$H$5:$H$604,H127,$R$5:$R$604,"&lt;&gt;Unavailable"),"⭐ Cheapest",""))</f>
        <v/>
      </c>
      <c r="Y127" s="18" t="n">
        <f aca="false">IF(COUNTIFS($E$5:$E$604,E127,$G$5:$G$604,G127,$J$5:$J$604,"Booking.com")=0,"",_xlfn.MINIFS($M$5:$M$604,$E$5:$E$604,E127,$G$5:$G$604,G127,$J$5:$J$604,"Booking.com"))</f>
        <v>127.804878048781</v>
      </c>
      <c r="Z127" s="18" t="n">
        <f aca="false">IF(OR(Y127="",M127="",J127="Booking.com"),"",Y127-M127)</f>
        <v>-12.1951219512195</v>
      </c>
      <c r="AA127" s="16"/>
      <c r="AB127" s="16"/>
      <c r="AC127" s="16"/>
      <c r="AD127" s="5"/>
    </row>
    <row r="128" customFormat="false" ht="23.85" hidden="false" customHeight="false" outlineLevel="0" collapsed="false">
      <c r="A128" s="15" t="n">
        <v>124</v>
      </c>
      <c r="B128" s="16" t="s">
        <v>206</v>
      </c>
      <c r="C128" s="17" t="n">
        <v>46388</v>
      </c>
      <c r="D128" s="16" t="n">
        <v>1</v>
      </c>
      <c r="E128" s="5" t="s">
        <v>210</v>
      </c>
      <c r="F128" s="16"/>
      <c r="G128" s="5" t="s">
        <v>211</v>
      </c>
      <c r="H128" s="16" t="s">
        <v>209</v>
      </c>
      <c r="I128" s="16" t="n">
        <v>1</v>
      </c>
      <c r="J128" s="16" t="s">
        <v>135</v>
      </c>
      <c r="K128" s="16" t="s">
        <v>10</v>
      </c>
      <c r="L128" s="10" t="n">
        <v>8744</v>
      </c>
      <c r="M128" s="18" t="n">
        <f aca="false">IF(L128="","",IFERROR(L128*INDEX(Trip!$E$5:$E$14,MATCH(K128,Trip!$D$5:$D$14,0))/INDEX(Trip!$E$5:$E$14,MATCH(Trip!$B$10,Trip!$D$5:$D$14,0)),""))</f>
        <v>92.7253446447508</v>
      </c>
      <c r="N128" s="18" t="n">
        <f aca="false">IF(OR(M128="",D128=""),"",M128/D128)</f>
        <v>92.7253446447508</v>
      </c>
      <c r="O128" s="18" t="n">
        <f aca="false">IF(M128="","",M128*I128)</f>
        <v>92.7253446447508</v>
      </c>
      <c r="P128" s="17" t="n">
        <v>46383</v>
      </c>
      <c r="Q128" s="19" t="n">
        <f aca="true">IF(ISNUMBER(P128),P128-TODAY(),IF(P128="","",P128))</f>
        <v>81</v>
      </c>
      <c r="R128" s="16" t="s">
        <v>77</v>
      </c>
      <c r="S128" s="16"/>
      <c r="T128" s="16"/>
      <c r="U128" s="20"/>
      <c r="V128" s="18" t="n">
        <f aca="false">IF(M128="","",M128*(1+IF(U128="",Trip!$B$11,U128)))</f>
        <v>106.634146341463</v>
      </c>
      <c r="W128" s="18" t="n">
        <f aca="false">IF(V128="","",V128*I128)</f>
        <v>106.634146341463</v>
      </c>
      <c r="X128" s="21" t="str">
        <f aca="false">IF(OR(M128="",R128="Unavailable"),"",IF(M128=_xlfn.MINIFS($M$5:$M$604,$E$5:$E$604,E128,$G$5:$G$604,G128,$H$5:$H$604,H128,$R$5:$R$604,"&lt;&gt;Unavailable"),"⭐ Cheapest",""))</f>
        <v>⭐ Cheapest</v>
      </c>
      <c r="Y128" s="18" t="n">
        <f aca="false">IF(COUNTIFS($E$5:$E$604,E128,$G$5:$G$604,G128,$J$5:$J$604,"Booking.com")=0,"",_xlfn.MINIFS($M$5:$M$604,$E$5:$E$604,E128,$G$5:$G$604,G128,$J$5:$J$604,"Booking.com"))</f>
        <v>115.620360551432</v>
      </c>
      <c r="Z128" s="18" t="n">
        <f aca="false">IF(OR(Y128="",M128="",J128="Booking.com"),"",Y128-M128)</f>
        <v>22.8950159066808</v>
      </c>
      <c r="AA128" s="16"/>
      <c r="AB128" s="16"/>
      <c r="AC128" s="16"/>
      <c r="AD128" s="5"/>
    </row>
    <row r="129" customFormat="false" ht="23.85" hidden="false" customHeight="false" outlineLevel="0" collapsed="false">
      <c r="A129" s="15" t="n">
        <v>125</v>
      </c>
      <c r="B129" s="16" t="s">
        <v>206</v>
      </c>
      <c r="C129" s="17" t="n">
        <v>46388</v>
      </c>
      <c r="D129" s="16" t="n">
        <v>1</v>
      </c>
      <c r="E129" s="5" t="s">
        <v>210</v>
      </c>
      <c r="F129" s="16"/>
      <c r="G129" s="5" t="s">
        <v>211</v>
      </c>
      <c r="H129" s="16" t="s">
        <v>209</v>
      </c>
      <c r="I129" s="16" t="n">
        <v>1</v>
      </c>
      <c r="J129" s="16" t="s">
        <v>78</v>
      </c>
      <c r="K129" s="16" t="s">
        <v>10</v>
      </c>
      <c r="L129" s="10" t="n">
        <v>10903</v>
      </c>
      <c r="M129" s="18" t="n">
        <f aca="false">IF(L129="","",IFERROR(L129*INDEX(Trip!$E$5:$E$14,MATCH(K129,Trip!$D$5:$D$14,0))/INDEX(Trip!$E$5:$E$14,MATCH(Trip!$B$10,Trip!$D$5:$D$14,0)),""))</f>
        <v>115.620360551432</v>
      </c>
      <c r="N129" s="18" t="n">
        <f aca="false">IF(OR(M129="",D129=""),"",M129/D129)</f>
        <v>115.620360551432</v>
      </c>
      <c r="O129" s="18" t="n">
        <f aca="false">IF(M129="","",M129*I129)</f>
        <v>115.620360551432</v>
      </c>
      <c r="P129" s="17" t="n">
        <v>46384</v>
      </c>
      <c r="Q129" s="19" t="n">
        <f aca="true">IF(ISNUMBER(P129),P129-TODAY(),IF(P129="","",P129))</f>
        <v>82</v>
      </c>
      <c r="R129" s="16" t="s">
        <v>77</v>
      </c>
      <c r="S129" s="16"/>
      <c r="T129" s="16"/>
      <c r="U129" s="20"/>
      <c r="V129" s="18" t="n">
        <f aca="false">IF(M129="","",M129*(1+IF(U129="",Trip!$B$11,U129)))</f>
        <v>132.963414634146</v>
      </c>
      <c r="W129" s="18" t="n">
        <f aca="false">IF(V129="","",V129*I129)</f>
        <v>132.963414634146</v>
      </c>
      <c r="X129" s="21" t="str">
        <f aca="false">IF(OR(M129="",R129="Unavailable"),"",IF(M129=_xlfn.MINIFS($M$5:$M$604,$E$5:$E$604,E129,$G$5:$G$604,G129,$H$5:$H$604,H129,$R$5:$R$604,"&lt;&gt;Unavailable"),"⭐ Cheapest",""))</f>
        <v/>
      </c>
      <c r="Y129" s="18" t="n">
        <f aca="false">IF(COUNTIFS($E$5:$E$604,E129,$G$5:$G$604,G129,$J$5:$J$604,"Booking.com")=0,"",_xlfn.MINIFS($M$5:$M$604,$E$5:$E$604,E129,$G$5:$G$604,G129,$J$5:$J$604,"Booking.com"))</f>
        <v>115.620360551432</v>
      </c>
      <c r="Z129" s="18" t="str">
        <f aca="false">IF(OR(Y129="",M129="",J129="Booking.com"),"",Y129-M129)</f>
        <v/>
      </c>
      <c r="AA129" s="16"/>
      <c r="AB129" s="16"/>
      <c r="AC129" s="16"/>
      <c r="AD129" s="5"/>
    </row>
    <row r="130" customFormat="false" ht="23.85" hidden="false" customHeight="false" outlineLevel="0" collapsed="false">
      <c r="A130" s="15" t="n">
        <v>126</v>
      </c>
      <c r="B130" s="16" t="s">
        <v>206</v>
      </c>
      <c r="C130" s="17" t="n">
        <v>46388</v>
      </c>
      <c r="D130" s="16" t="n">
        <v>1</v>
      </c>
      <c r="E130" s="5" t="s">
        <v>210</v>
      </c>
      <c r="F130" s="16"/>
      <c r="G130" s="5" t="s">
        <v>211</v>
      </c>
      <c r="H130" s="16" t="s">
        <v>209</v>
      </c>
      <c r="I130" s="16" t="n">
        <v>1</v>
      </c>
      <c r="J130" s="16" t="s">
        <v>111</v>
      </c>
      <c r="K130" s="16" t="s">
        <v>13</v>
      </c>
      <c r="L130" s="10" t="n">
        <v>142</v>
      </c>
      <c r="M130" s="18" t="n">
        <f aca="false">IF(L130="","",IFERROR(L130*INDEX(Trip!$E$5:$E$14,MATCH(K130,Trip!$D$5:$D$14,0))/INDEX(Trip!$E$5:$E$14,MATCH(Trip!$B$10,Trip!$D$5:$D$14,0)),""))</f>
        <v>142</v>
      </c>
      <c r="N130" s="18" t="n">
        <f aca="false">IF(OR(M130="",D130=""),"",M130/D130)</f>
        <v>142</v>
      </c>
      <c r="O130" s="18" t="n">
        <f aca="false">IF(M130="","",M130*I130)</f>
        <v>142</v>
      </c>
      <c r="P130" s="17" t="n">
        <v>46383</v>
      </c>
      <c r="Q130" s="19" t="n">
        <f aca="true">IF(ISNUMBER(P130),P130-TODAY(),IF(P130="","",P130))</f>
        <v>81</v>
      </c>
      <c r="R130" s="16" t="s">
        <v>77</v>
      </c>
      <c r="S130" s="16"/>
      <c r="T130" s="16"/>
      <c r="U130" s="20"/>
      <c r="V130" s="18" t="n">
        <f aca="false">IF(M130="","",M130*(1+IF(U130="",Trip!$B$11,U130)))</f>
        <v>163.3</v>
      </c>
      <c r="W130" s="18" t="n">
        <f aca="false">IF(V130="","",V130*I130)</f>
        <v>163.3</v>
      </c>
      <c r="X130" s="21" t="str">
        <f aca="false">IF(OR(M130="",R130="Unavailable"),"",IF(M130=_xlfn.MINIFS($M$5:$M$604,$E$5:$E$604,E130,$G$5:$G$604,G130,$H$5:$H$604,H130,$R$5:$R$604,"&lt;&gt;Unavailable"),"⭐ Cheapest",""))</f>
        <v/>
      </c>
      <c r="Y130" s="18" t="n">
        <f aca="false">IF(COUNTIFS($E$5:$E$604,E130,$G$5:$G$604,G130,$J$5:$J$604,"Booking.com")=0,"",_xlfn.MINIFS($M$5:$M$604,$E$5:$E$604,E130,$G$5:$G$604,G130,$J$5:$J$604,"Booking.com"))</f>
        <v>115.620360551432</v>
      </c>
      <c r="Z130" s="18" t="n">
        <f aca="false">IF(OR(Y130="",M130="",J130="Booking.com"),"",Y130-M130)</f>
        <v>-26.3796394485684</v>
      </c>
      <c r="AA130" s="16"/>
      <c r="AB130" s="16"/>
      <c r="AC130" s="16"/>
      <c r="AD130" s="5"/>
    </row>
  </sheetData>
  <autoFilter ref="A4:AD130"/>
  <conditionalFormatting sqref="X5:X604">
    <cfRule type="expression" priority="2" aboveAverage="0" equalAverage="0" bottom="0" percent="0" rank="0" text="" dxfId="12">
      <formula>X5="⭐ Cheapest"</formula>
    </cfRule>
  </conditionalFormatting>
  <conditionalFormatting sqref="Q5:Q604">
    <cfRule type="expression" priority="3" aboveAverage="0" equalAverage="0" bottom="0" percent="0" rank="0" text="" dxfId="13">
      <formula>AND(ISNUMBER(Q5),Q5&lt;=7)</formula>
    </cfRule>
    <cfRule type="expression" priority="4" aboveAverage="0" equalAverage="0" bottom="0" percent="0" rank="0" text="" dxfId="14">
      <formula>AND(ISNUMBER(Q5),Q5&gt;7,Q5&lt;=21)</formula>
    </cfRule>
  </conditionalFormatting>
  <conditionalFormatting sqref="L5:L604">
    <cfRule type="expression" priority="5" aboveAverage="0" equalAverage="0" bottom="0" percent="0" rank="0" text="" dxfId="15">
      <formula>AND(L5&lt;&gt;"",M5="")</formula>
    </cfRule>
  </conditionalFormatting>
  <conditionalFormatting sqref="R5:R604">
    <cfRule type="cellIs" priority="6" operator="equal" aboveAverage="0" equalAverage="0" bottom="0" percent="0" rank="0" text="" dxfId="16">
      <formula>"Booked"</formula>
    </cfRule>
    <cfRule type="cellIs" priority="7" operator="equal" aboveAverage="0" equalAverage="0" bottom="0" percent="0" rank="0" text="" dxfId="17">
      <formula>"Blocked"</formula>
    </cfRule>
    <cfRule type="cellIs" priority="8" operator="equal" aboveAverage="0" equalAverage="0" bottom="0" percent="0" rank="0" text="" dxfId="18">
      <formula>"Unavailable"</formula>
    </cfRule>
  </conditionalFormatting>
  <conditionalFormatting sqref="AA5:AC604">
    <cfRule type="cellIs" priority="9" operator="equal" aboveAverage="0" equalAverage="0" bottom="0" percent="0" rank="0" text="" dxfId="19">
      <formula>"Y"</formula>
    </cfRule>
  </conditionalFormatting>
  <conditionalFormatting sqref="Z5:Z604">
    <cfRule type="expression" priority="10" aboveAverage="0" equalAverage="0" bottom="0" percent="0" rank="0" text="" dxfId="20">
      <formula>AND(ISNUMBER(Z5),Z5&gt;0)</formula>
    </cfRule>
  </conditionalFormatting>
  <dataValidations count="5">
    <dataValidation allowBlank="true" errorStyle="stop" operator="between" showDropDown="false" showErrorMessage="false" showInputMessage="false" sqref="J5:J604" type="list">
      <formula1>Lists!$A$2:$A$30</formula1>
      <formula2>0</formula2>
    </dataValidation>
    <dataValidation allowBlank="true" errorStyle="stop" operator="between" showDropDown="false" showErrorMessage="false" showInputMessage="false" sqref="H5:H604" type="list">
      <formula1>Lists!$B$2:$B$10</formula1>
      <formula2>0</formula2>
    </dataValidation>
    <dataValidation allowBlank="true" errorStyle="stop" operator="between" showDropDown="false" showErrorMessage="false" showInputMessage="false" sqref="R5:R604" type="list">
      <formula1>Lists!$C$2:$C$10</formula1>
      <formula2>0</formula2>
    </dataValidation>
    <dataValidation allowBlank="true" errorStyle="stop" operator="between" showDropDown="false" showErrorMessage="false" showInputMessage="false" sqref="K5:K604" type="list">
      <formula1>Trip!$D$5:$D$14</formula1>
      <formula2>0</formula2>
    </dataValidation>
    <dataValidation allowBlank="true" errorStyle="stop" operator="between" showDropDown="false" showErrorMessage="false" showInputMessage="false" sqref="AA5:AC604" type="list">
      <formula1>Lists!$F$2:$F$2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A047"/>
    <pageSetUpPr fitToPage="true"/>
  </sheetPr>
  <dimension ref="A1:N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7"/>
    <col collapsed="false" customWidth="true" hidden="false" outlineLevel="0" max="12" min="5" style="0" width="12"/>
    <col collapsed="false" customWidth="true" hidden="false" outlineLevel="0" max="14" min="13" style="0" width="14"/>
  </cols>
  <sheetData>
    <row r="1" customFormat="false" ht="19.7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4" customFormat="false" ht="42" hidden="false" customHeight="true" outlineLevel="0" collapsed="false">
      <c r="A4" s="6" t="s">
        <v>45</v>
      </c>
      <c r="B4" s="6" t="s">
        <v>48</v>
      </c>
      <c r="C4" s="6" t="s">
        <v>50</v>
      </c>
      <c r="D4" s="6" t="s">
        <v>51</v>
      </c>
      <c r="E4" s="6" t="s">
        <v>76</v>
      </c>
      <c r="F4" s="6" t="s">
        <v>135</v>
      </c>
      <c r="G4" s="6" t="s">
        <v>105</v>
      </c>
      <c r="H4" s="6" t="s">
        <v>148</v>
      </c>
      <c r="I4" s="6" t="s">
        <v>111</v>
      </c>
      <c r="J4" s="6" t="s">
        <v>101</v>
      </c>
      <c r="K4" s="6" t="s">
        <v>78</v>
      </c>
      <c r="L4" s="6" t="s">
        <v>214</v>
      </c>
      <c r="M4" s="6" t="s">
        <v>215</v>
      </c>
      <c r="N4" s="6" t="s">
        <v>216</v>
      </c>
    </row>
    <row r="5" customFormat="false" ht="23.85" hidden="false" customHeight="false" outlineLevel="0" collapsed="false">
      <c r="A5" s="22" t="s">
        <v>72</v>
      </c>
      <c r="B5" s="22" t="s">
        <v>73</v>
      </c>
      <c r="C5" s="22" t="s">
        <v>74</v>
      </c>
      <c r="D5" s="22" t="s">
        <v>75</v>
      </c>
      <c r="E5" s="23" t="n">
        <f aca="false">IF(COUNTIFS(Quotes!$E$5:$E$604,$B5,Quotes!$G$5:$G$604,$C5,Quotes!$H$5:$H$604,$D5,Quotes!$J$5:$J$604,E$4,Quotes!$R$5:$R$604,"&lt;&gt;Unavailable")=0,"",_xlfn.MINIFS(Quotes!$M$5:$M$604,Quotes!$E$5:$E$604,$B5,Quotes!$G$5:$G$604,$C5,Quotes!$H$5:$H$604,$D5,Quotes!$J$5:$J$604,E$4,Quotes!$R$5:$R$604,"&lt;&gt;Unavailable"))</f>
        <v>150.721102863203</v>
      </c>
      <c r="F5" s="23" t="str">
        <f aca="false">IF(COUNTIFS(Quotes!$E$5:$E$604,$B5,Quotes!$G$5:$G$604,$C5,Quotes!$H$5:$H$604,$D5,Quotes!$J$5:$J$604,F$4,Quotes!$R$5:$R$604,"&lt;&gt;Unavailable")=0,"",_xlfn.MINIFS(Quotes!$M$5:$M$604,Quotes!$E$5:$E$604,$B5,Quotes!$G$5:$G$604,$C5,Quotes!$H$5:$H$604,$D5,Quotes!$J$5:$J$604,F$4,Quotes!$R$5:$R$604,"&lt;&gt;Unavailable"))</f>
        <v/>
      </c>
      <c r="G5" s="23" t="str">
        <f aca="false">IF(COUNTIFS(Quotes!$E$5:$E$604,$B5,Quotes!$G$5:$G$604,$C5,Quotes!$H$5:$H$604,$D5,Quotes!$J$5:$J$604,G$4,Quotes!$R$5:$R$604,"&lt;&gt;Unavailable")=0,"",_xlfn.MINIFS(Quotes!$M$5:$M$604,Quotes!$E$5:$E$604,$B5,Quotes!$G$5:$G$604,$C5,Quotes!$H$5:$H$604,$D5,Quotes!$J$5:$J$604,G$4,Quotes!$R$5:$R$604,"&lt;&gt;Unavailable"))</f>
        <v/>
      </c>
      <c r="H5" s="23" t="str">
        <f aca="false">IF(COUNTIFS(Quotes!$E$5:$E$604,$B5,Quotes!$G$5:$G$604,$C5,Quotes!$H$5:$H$604,$D5,Quotes!$J$5:$J$604,H$4,Quotes!$R$5:$R$604,"&lt;&gt;Unavailable")=0,"",_xlfn.MINIFS(Quotes!$M$5:$M$604,Quotes!$E$5:$E$604,$B5,Quotes!$G$5:$G$604,$C5,Quotes!$H$5:$H$604,$D5,Quotes!$J$5:$J$604,H$4,Quotes!$R$5:$R$604,"&lt;&gt;Unavailable"))</f>
        <v/>
      </c>
      <c r="I5" s="23" t="str">
        <f aca="false">IF(COUNTIFS(Quotes!$E$5:$E$604,$B5,Quotes!$G$5:$G$604,$C5,Quotes!$H$5:$H$604,$D5,Quotes!$J$5:$J$604,I$4,Quotes!$R$5:$R$604,"&lt;&gt;Unavailable")=0,"",_xlfn.MINIFS(Quotes!$M$5:$M$604,Quotes!$E$5:$E$604,$B5,Quotes!$G$5:$G$604,$C5,Quotes!$H$5:$H$604,$D5,Quotes!$J$5:$J$604,I$4,Quotes!$R$5:$R$604,"&lt;&gt;Unavailable"))</f>
        <v/>
      </c>
      <c r="J5" s="23" t="str">
        <f aca="false">IF(COUNTIFS(Quotes!$E$5:$E$604,$B5,Quotes!$G$5:$G$604,$C5,Quotes!$H$5:$H$604,$D5,Quotes!$J$5:$J$604,J$4,Quotes!$R$5:$R$604,"&lt;&gt;Unavailable")=0,"",_xlfn.MINIFS(Quotes!$M$5:$M$604,Quotes!$E$5:$E$604,$B5,Quotes!$G$5:$G$604,$C5,Quotes!$H$5:$H$604,$D5,Quotes!$J$5:$J$604,J$4,Quotes!$R$5:$R$604,"&lt;&gt;Unavailable"))</f>
        <v/>
      </c>
      <c r="K5" s="23" t="n">
        <f aca="false">IF(COUNTIFS(Quotes!$E$5:$E$604,$B5,Quotes!$G$5:$G$604,$C5,Quotes!$H$5:$H$604,$D5,Quotes!$J$5:$J$604,K$4,Quotes!$R$5:$R$604,"&lt;&gt;Unavailable")=0,"",_xlfn.MINIFS(Quotes!$M$5:$M$604,Quotes!$E$5:$E$604,$B5,Quotes!$G$5:$G$604,$C5,Quotes!$H$5:$H$604,$D5,Quotes!$J$5:$J$604,K$4,Quotes!$R$5:$R$604,"&lt;&gt;Unavailable"))</f>
        <v>139.141039236479</v>
      </c>
      <c r="L5" s="24" t="n">
        <f aca="false">IF(COUNT(E5:K5)=0,"",MIN(E5:K5))</f>
        <v>139.141039236479</v>
      </c>
      <c r="M5" s="25" t="str">
        <f aca="false">IF(L5="","",INDEX($E$4:$K$4,MATCH(L5,E5:K5,0)))</f>
        <v>Booking.com</v>
      </c>
      <c r="N5" s="26" t="n">
        <f aca="false">IF(OR(K5="",COUNT(E5:J5)=0),"",K5-MIN(E5:J5))</f>
        <v>-11.5800636267232</v>
      </c>
    </row>
    <row r="6" customFormat="false" ht="15" hidden="false" customHeight="false" outlineLevel="0" collapsed="false">
      <c r="A6" s="22" t="s">
        <v>72</v>
      </c>
      <c r="B6" s="22" t="s">
        <v>79</v>
      </c>
      <c r="C6" s="22" t="s">
        <v>80</v>
      </c>
      <c r="D6" s="22" t="s">
        <v>75</v>
      </c>
      <c r="E6" s="23" t="n">
        <f aca="false">IF(COUNTIFS(Quotes!$E$5:$E$604,$B6,Quotes!$G$5:$G$604,$C6,Quotes!$H$5:$H$604,$D6,Quotes!$J$5:$J$604,E$4,Quotes!$R$5:$R$604,"&lt;&gt;Unavailable")=0,"",_xlfn.MINIFS(Quotes!$M$5:$M$604,Quotes!$E$5:$E$604,$B6,Quotes!$G$5:$G$604,$C6,Quotes!$H$5:$H$604,$D6,Quotes!$J$5:$J$604,E$4,Quotes!$R$5:$R$604,"&lt;&gt;Unavailable"))</f>
        <v>109.416755037116</v>
      </c>
      <c r="F6" s="23" t="str">
        <f aca="false">IF(COUNTIFS(Quotes!$E$5:$E$604,$B6,Quotes!$G$5:$G$604,$C6,Quotes!$H$5:$H$604,$D6,Quotes!$J$5:$J$604,F$4,Quotes!$R$5:$R$604,"&lt;&gt;Unavailable")=0,"",_xlfn.MINIFS(Quotes!$M$5:$M$604,Quotes!$E$5:$E$604,$B6,Quotes!$G$5:$G$604,$C6,Quotes!$H$5:$H$604,$D6,Quotes!$J$5:$J$604,F$4,Quotes!$R$5:$R$604,"&lt;&gt;Unavailable"))</f>
        <v/>
      </c>
      <c r="G6" s="23" t="str">
        <f aca="false">IF(COUNTIFS(Quotes!$E$5:$E$604,$B6,Quotes!$G$5:$G$604,$C6,Quotes!$H$5:$H$604,$D6,Quotes!$J$5:$J$604,G$4,Quotes!$R$5:$R$604,"&lt;&gt;Unavailable")=0,"",_xlfn.MINIFS(Quotes!$M$5:$M$604,Quotes!$E$5:$E$604,$B6,Quotes!$G$5:$G$604,$C6,Quotes!$H$5:$H$604,$D6,Quotes!$J$5:$J$604,G$4,Quotes!$R$5:$R$604,"&lt;&gt;Unavailable"))</f>
        <v/>
      </c>
      <c r="H6" s="23" t="str">
        <f aca="false">IF(COUNTIFS(Quotes!$E$5:$E$604,$B6,Quotes!$G$5:$G$604,$C6,Quotes!$H$5:$H$604,$D6,Quotes!$J$5:$J$604,H$4,Quotes!$R$5:$R$604,"&lt;&gt;Unavailable")=0,"",_xlfn.MINIFS(Quotes!$M$5:$M$604,Quotes!$E$5:$E$604,$B6,Quotes!$G$5:$G$604,$C6,Quotes!$H$5:$H$604,$D6,Quotes!$J$5:$J$604,H$4,Quotes!$R$5:$R$604,"&lt;&gt;Unavailable"))</f>
        <v/>
      </c>
      <c r="I6" s="23" t="str">
        <f aca="false">IF(COUNTIFS(Quotes!$E$5:$E$604,$B6,Quotes!$G$5:$G$604,$C6,Quotes!$H$5:$H$604,$D6,Quotes!$J$5:$J$604,I$4,Quotes!$R$5:$R$604,"&lt;&gt;Unavailable")=0,"",_xlfn.MINIFS(Quotes!$M$5:$M$604,Quotes!$E$5:$E$604,$B6,Quotes!$G$5:$G$604,$C6,Quotes!$H$5:$H$604,$D6,Quotes!$J$5:$J$604,I$4,Quotes!$R$5:$R$604,"&lt;&gt;Unavailable"))</f>
        <v/>
      </c>
      <c r="J6" s="23" t="str">
        <f aca="false">IF(COUNTIFS(Quotes!$E$5:$E$604,$B6,Quotes!$G$5:$G$604,$C6,Quotes!$H$5:$H$604,$D6,Quotes!$J$5:$J$604,J$4,Quotes!$R$5:$R$604,"&lt;&gt;Unavailable")=0,"",_xlfn.MINIFS(Quotes!$M$5:$M$604,Quotes!$E$5:$E$604,$B6,Quotes!$G$5:$G$604,$C6,Quotes!$H$5:$H$604,$D6,Quotes!$J$5:$J$604,J$4,Quotes!$R$5:$R$604,"&lt;&gt;Unavailable"))</f>
        <v/>
      </c>
      <c r="K6" s="23" t="str">
        <f aca="false">IF(COUNTIFS(Quotes!$E$5:$E$604,$B6,Quotes!$G$5:$G$604,$C6,Quotes!$H$5:$H$604,$D6,Quotes!$J$5:$J$604,K$4,Quotes!$R$5:$R$604,"&lt;&gt;Unavailable")=0,"",_xlfn.MINIFS(Quotes!$M$5:$M$604,Quotes!$E$5:$E$604,$B6,Quotes!$G$5:$G$604,$C6,Quotes!$H$5:$H$604,$D6,Quotes!$J$5:$J$604,K$4,Quotes!$R$5:$R$604,"&lt;&gt;Unavailable"))</f>
        <v/>
      </c>
      <c r="L6" s="24" t="n">
        <f aca="false">IF(COUNT(E6:K6)=0,"",MIN(E6:K6))</f>
        <v>109.416755037116</v>
      </c>
      <c r="M6" s="25" t="str">
        <f aca="false">IF(L6="","",INDEX($E$4:$K$4,MATCH(L6,E6:K6,0)))</f>
        <v>Ottila</v>
      </c>
      <c r="N6" s="26" t="str">
        <f aca="false">IF(OR(K6="",COUNT(E6:J6)=0),"",K6-MIN(E6:J6))</f>
        <v/>
      </c>
    </row>
    <row r="7" customFormat="false" ht="15" hidden="false" customHeight="false" outlineLevel="0" collapsed="false">
      <c r="A7" s="22" t="s">
        <v>72</v>
      </c>
      <c r="B7" s="22" t="s">
        <v>81</v>
      </c>
      <c r="C7" s="22" t="s">
        <v>82</v>
      </c>
      <c r="D7" s="22" t="s">
        <v>75</v>
      </c>
      <c r="E7" s="23" t="n">
        <f aca="false">IF(COUNTIFS(Quotes!$E$5:$E$604,$B7,Quotes!$G$5:$G$604,$C7,Quotes!$H$5:$H$604,$D7,Quotes!$J$5:$J$604,E$4,Quotes!$R$5:$R$604,"&lt;&gt;Unavailable")=0,"",_xlfn.MINIFS(Quotes!$M$5:$M$604,Quotes!$E$5:$E$604,$B7,Quotes!$G$5:$G$604,$C7,Quotes!$H$5:$H$604,$D7,Quotes!$J$5:$J$604,E$4,Quotes!$R$5:$R$604,"&lt;&gt;Unavailable"))</f>
        <v>160.742311770944</v>
      </c>
      <c r="F7" s="23" t="str">
        <f aca="false">IF(COUNTIFS(Quotes!$E$5:$E$604,$B7,Quotes!$G$5:$G$604,$C7,Quotes!$H$5:$H$604,$D7,Quotes!$J$5:$J$604,F$4,Quotes!$R$5:$R$604,"&lt;&gt;Unavailable")=0,"",_xlfn.MINIFS(Quotes!$M$5:$M$604,Quotes!$E$5:$E$604,$B7,Quotes!$G$5:$G$604,$C7,Quotes!$H$5:$H$604,$D7,Quotes!$J$5:$J$604,F$4,Quotes!$R$5:$R$604,"&lt;&gt;Unavailable"))</f>
        <v/>
      </c>
      <c r="G7" s="23" t="str">
        <f aca="false">IF(COUNTIFS(Quotes!$E$5:$E$604,$B7,Quotes!$G$5:$G$604,$C7,Quotes!$H$5:$H$604,$D7,Quotes!$J$5:$J$604,G$4,Quotes!$R$5:$R$604,"&lt;&gt;Unavailable")=0,"",_xlfn.MINIFS(Quotes!$M$5:$M$604,Quotes!$E$5:$E$604,$B7,Quotes!$G$5:$G$604,$C7,Quotes!$H$5:$H$604,$D7,Quotes!$J$5:$J$604,G$4,Quotes!$R$5:$R$604,"&lt;&gt;Unavailable"))</f>
        <v/>
      </c>
      <c r="H7" s="23" t="str">
        <f aca="false">IF(COUNTIFS(Quotes!$E$5:$E$604,$B7,Quotes!$G$5:$G$604,$C7,Quotes!$H$5:$H$604,$D7,Quotes!$J$5:$J$604,H$4,Quotes!$R$5:$R$604,"&lt;&gt;Unavailable")=0,"",_xlfn.MINIFS(Quotes!$M$5:$M$604,Quotes!$E$5:$E$604,$B7,Quotes!$G$5:$G$604,$C7,Quotes!$H$5:$H$604,$D7,Quotes!$J$5:$J$604,H$4,Quotes!$R$5:$R$604,"&lt;&gt;Unavailable"))</f>
        <v/>
      </c>
      <c r="I7" s="23" t="str">
        <f aca="false">IF(COUNTIFS(Quotes!$E$5:$E$604,$B7,Quotes!$G$5:$G$604,$C7,Quotes!$H$5:$H$604,$D7,Quotes!$J$5:$J$604,I$4,Quotes!$R$5:$R$604,"&lt;&gt;Unavailable")=0,"",_xlfn.MINIFS(Quotes!$M$5:$M$604,Quotes!$E$5:$E$604,$B7,Quotes!$G$5:$G$604,$C7,Quotes!$H$5:$H$604,$D7,Quotes!$J$5:$J$604,I$4,Quotes!$R$5:$R$604,"&lt;&gt;Unavailable"))</f>
        <v/>
      </c>
      <c r="J7" s="23" t="str">
        <f aca="false">IF(COUNTIFS(Quotes!$E$5:$E$604,$B7,Quotes!$G$5:$G$604,$C7,Quotes!$H$5:$H$604,$D7,Quotes!$J$5:$J$604,J$4,Quotes!$R$5:$R$604,"&lt;&gt;Unavailable")=0,"",_xlfn.MINIFS(Quotes!$M$5:$M$604,Quotes!$E$5:$E$604,$B7,Quotes!$G$5:$G$604,$C7,Quotes!$H$5:$H$604,$D7,Quotes!$J$5:$J$604,J$4,Quotes!$R$5:$R$604,"&lt;&gt;Unavailable"))</f>
        <v/>
      </c>
      <c r="K7" s="23" t="n">
        <f aca="false">IF(COUNTIFS(Quotes!$E$5:$E$604,$B7,Quotes!$G$5:$G$604,$C7,Quotes!$H$5:$H$604,$D7,Quotes!$J$5:$J$604,K$4,Quotes!$R$5:$R$604,"&lt;&gt;Unavailable")=0,"",_xlfn.MINIFS(Quotes!$M$5:$M$604,Quotes!$E$5:$E$604,$B7,Quotes!$G$5:$G$604,$C7,Quotes!$H$5:$H$604,$D7,Quotes!$J$5:$J$604,K$4,Quotes!$R$5:$R$604,"&lt;&gt;Unavailable"))</f>
        <v>179</v>
      </c>
      <c r="L7" s="24" t="n">
        <f aca="false">IF(COUNT(E7:K7)=0,"",MIN(E7:K7))</f>
        <v>160.742311770944</v>
      </c>
      <c r="M7" s="25" t="str">
        <f aca="false">IF(L7="","",INDEX($E$4:$K$4,MATCH(L7,E7:K7,0)))</f>
        <v>Ottila</v>
      </c>
      <c r="N7" s="26" t="n">
        <f aca="false">IF(OR(K7="",COUNT(E7:J7)=0),"",K7-MIN(E7:J7))</f>
        <v>18.2576882290562</v>
      </c>
    </row>
    <row r="8" customFormat="false" ht="23.85" hidden="false" customHeight="false" outlineLevel="0" collapsed="false">
      <c r="A8" s="22" t="s">
        <v>72</v>
      </c>
      <c r="B8" s="22" t="s">
        <v>84</v>
      </c>
      <c r="C8" s="22" t="s">
        <v>85</v>
      </c>
      <c r="D8" s="22" t="s">
        <v>75</v>
      </c>
      <c r="E8" s="23" t="n">
        <f aca="false">IF(COUNTIFS(Quotes!$E$5:$E$604,$B8,Quotes!$G$5:$G$604,$C8,Quotes!$H$5:$H$604,$D8,Quotes!$J$5:$J$604,E$4,Quotes!$R$5:$R$604,"&lt;&gt;Unavailable")=0,"",_xlfn.MINIFS(Quotes!$M$5:$M$604,Quotes!$E$5:$E$604,$B8,Quotes!$G$5:$G$604,$C8,Quotes!$H$5:$H$604,$D8,Quotes!$J$5:$J$604,E$4,Quotes!$R$5:$R$604,"&lt;&gt;Unavailable"))</f>
        <v>533.181336161188</v>
      </c>
      <c r="F8" s="23" t="str">
        <f aca="false">IF(COUNTIFS(Quotes!$E$5:$E$604,$B8,Quotes!$G$5:$G$604,$C8,Quotes!$H$5:$H$604,$D8,Quotes!$J$5:$J$604,F$4,Quotes!$R$5:$R$604,"&lt;&gt;Unavailable")=0,"",_xlfn.MINIFS(Quotes!$M$5:$M$604,Quotes!$E$5:$E$604,$B8,Quotes!$G$5:$G$604,$C8,Quotes!$H$5:$H$604,$D8,Quotes!$J$5:$J$604,F$4,Quotes!$R$5:$R$604,"&lt;&gt;Unavailable"))</f>
        <v/>
      </c>
      <c r="G8" s="23" t="str">
        <f aca="false">IF(COUNTIFS(Quotes!$E$5:$E$604,$B8,Quotes!$G$5:$G$604,$C8,Quotes!$H$5:$H$604,$D8,Quotes!$J$5:$J$604,G$4,Quotes!$R$5:$R$604,"&lt;&gt;Unavailable")=0,"",_xlfn.MINIFS(Quotes!$M$5:$M$604,Quotes!$E$5:$E$604,$B8,Quotes!$G$5:$G$604,$C8,Quotes!$H$5:$H$604,$D8,Quotes!$J$5:$J$604,G$4,Quotes!$R$5:$R$604,"&lt;&gt;Unavailable"))</f>
        <v/>
      </c>
      <c r="H8" s="23" t="str">
        <f aca="false">IF(COUNTIFS(Quotes!$E$5:$E$604,$B8,Quotes!$G$5:$G$604,$C8,Quotes!$H$5:$H$604,$D8,Quotes!$J$5:$J$604,H$4,Quotes!$R$5:$R$604,"&lt;&gt;Unavailable")=0,"",_xlfn.MINIFS(Quotes!$M$5:$M$604,Quotes!$E$5:$E$604,$B8,Quotes!$G$5:$G$604,$C8,Quotes!$H$5:$H$604,$D8,Quotes!$J$5:$J$604,H$4,Quotes!$R$5:$R$604,"&lt;&gt;Unavailable"))</f>
        <v/>
      </c>
      <c r="I8" s="23" t="str">
        <f aca="false">IF(COUNTIFS(Quotes!$E$5:$E$604,$B8,Quotes!$G$5:$G$604,$C8,Quotes!$H$5:$H$604,$D8,Quotes!$J$5:$J$604,I$4,Quotes!$R$5:$R$604,"&lt;&gt;Unavailable")=0,"",_xlfn.MINIFS(Quotes!$M$5:$M$604,Quotes!$E$5:$E$604,$B8,Quotes!$G$5:$G$604,$C8,Quotes!$H$5:$H$604,$D8,Quotes!$J$5:$J$604,I$4,Quotes!$R$5:$R$604,"&lt;&gt;Unavailable"))</f>
        <v/>
      </c>
      <c r="J8" s="23" t="str">
        <f aca="false">IF(COUNTIFS(Quotes!$E$5:$E$604,$B8,Quotes!$G$5:$G$604,$C8,Quotes!$H$5:$H$604,$D8,Quotes!$J$5:$J$604,J$4,Quotes!$R$5:$R$604,"&lt;&gt;Unavailable")=0,"",_xlfn.MINIFS(Quotes!$M$5:$M$604,Quotes!$E$5:$E$604,$B8,Quotes!$G$5:$G$604,$C8,Quotes!$H$5:$H$604,$D8,Quotes!$J$5:$J$604,J$4,Quotes!$R$5:$R$604,"&lt;&gt;Unavailable"))</f>
        <v/>
      </c>
      <c r="K8" s="23" t="n">
        <f aca="false">IF(COUNTIFS(Quotes!$E$5:$E$604,$B8,Quotes!$G$5:$G$604,$C8,Quotes!$H$5:$H$604,$D8,Quotes!$J$5:$J$604,K$4,Quotes!$R$5:$R$604,"&lt;&gt;Unavailable")=0,"",_xlfn.MINIFS(Quotes!$M$5:$M$604,Quotes!$E$5:$E$604,$B8,Quotes!$G$5:$G$604,$C8,Quotes!$H$5:$H$604,$D8,Quotes!$J$5:$J$604,K$4,Quotes!$R$5:$R$604,"&lt;&gt;Unavailable"))</f>
        <v>580</v>
      </c>
      <c r="L8" s="24" t="n">
        <f aca="false">IF(COUNT(E8:K8)=0,"",MIN(E8:K8))</f>
        <v>533.181336161188</v>
      </c>
      <c r="M8" s="25" t="str">
        <f aca="false">IF(L8="","",INDEX($E$4:$K$4,MATCH(L8,E8:K8,0)))</f>
        <v>Ottila</v>
      </c>
      <c r="N8" s="26" t="n">
        <f aca="false">IF(OR(K8="",COUNT(E8:J8)=0),"",K8-MIN(E8:J8))</f>
        <v>46.8186638388123</v>
      </c>
    </row>
    <row r="9" customFormat="false" ht="23.85" hidden="false" customHeight="false" outlineLevel="0" collapsed="false">
      <c r="A9" s="22" t="s">
        <v>72</v>
      </c>
      <c r="B9" s="22" t="s">
        <v>86</v>
      </c>
      <c r="C9" s="22" t="s">
        <v>87</v>
      </c>
      <c r="D9" s="22" t="s">
        <v>75</v>
      </c>
      <c r="E9" s="23" t="n">
        <f aca="false">IF(COUNTIFS(Quotes!$E$5:$E$604,$B9,Quotes!$G$5:$G$604,$C9,Quotes!$H$5:$H$604,$D9,Quotes!$J$5:$J$604,E$4,Quotes!$R$5:$R$604,"&lt;&gt;Unavailable")=0,"",_xlfn.MINIFS(Quotes!$M$5:$M$604,Quotes!$E$5:$E$604,$B9,Quotes!$G$5:$G$604,$C9,Quotes!$H$5:$H$604,$D9,Quotes!$J$5:$J$604,E$4,Quotes!$R$5:$R$604,"&lt;&gt;Unavailable"))</f>
        <v>236.383881230117</v>
      </c>
      <c r="F9" s="23" t="str">
        <f aca="false">IF(COUNTIFS(Quotes!$E$5:$E$604,$B9,Quotes!$G$5:$G$604,$C9,Quotes!$H$5:$H$604,$D9,Quotes!$J$5:$J$604,F$4,Quotes!$R$5:$R$604,"&lt;&gt;Unavailable")=0,"",_xlfn.MINIFS(Quotes!$M$5:$M$604,Quotes!$E$5:$E$604,$B9,Quotes!$G$5:$G$604,$C9,Quotes!$H$5:$H$604,$D9,Quotes!$J$5:$J$604,F$4,Quotes!$R$5:$R$604,"&lt;&gt;Unavailable"))</f>
        <v/>
      </c>
      <c r="G9" s="23" t="str">
        <f aca="false">IF(COUNTIFS(Quotes!$E$5:$E$604,$B9,Quotes!$G$5:$G$604,$C9,Quotes!$H$5:$H$604,$D9,Quotes!$J$5:$J$604,G$4,Quotes!$R$5:$R$604,"&lt;&gt;Unavailable")=0,"",_xlfn.MINIFS(Quotes!$M$5:$M$604,Quotes!$E$5:$E$604,$B9,Quotes!$G$5:$G$604,$C9,Quotes!$H$5:$H$604,$D9,Quotes!$J$5:$J$604,G$4,Quotes!$R$5:$R$604,"&lt;&gt;Unavailable"))</f>
        <v/>
      </c>
      <c r="H9" s="23" t="str">
        <f aca="false">IF(COUNTIFS(Quotes!$E$5:$E$604,$B9,Quotes!$G$5:$G$604,$C9,Quotes!$H$5:$H$604,$D9,Quotes!$J$5:$J$604,H$4,Quotes!$R$5:$R$604,"&lt;&gt;Unavailable")=0,"",_xlfn.MINIFS(Quotes!$M$5:$M$604,Quotes!$E$5:$E$604,$B9,Quotes!$G$5:$G$604,$C9,Quotes!$H$5:$H$604,$D9,Quotes!$J$5:$J$604,H$4,Quotes!$R$5:$R$604,"&lt;&gt;Unavailable"))</f>
        <v/>
      </c>
      <c r="I9" s="23" t="str">
        <f aca="false">IF(COUNTIFS(Quotes!$E$5:$E$604,$B9,Quotes!$G$5:$G$604,$C9,Quotes!$H$5:$H$604,$D9,Quotes!$J$5:$J$604,I$4,Quotes!$R$5:$R$604,"&lt;&gt;Unavailable")=0,"",_xlfn.MINIFS(Quotes!$M$5:$M$604,Quotes!$E$5:$E$604,$B9,Quotes!$G$5:$G$604,$C9,Quotes!$H$5:$H$604,$D9,Quotes!$J$5:$J$604,I$4,Quotes!$R$5:$R$604,"&lt;&gt;Unavailable"))</f>
        <v/>
      </c>
      <c r="J9" s="23" t="str">
        <f aca="false">IF(COUNTIFS(Quotes!$E$5:$E$604,$B9,Quotes!$G$5:$G$604,$C9,Quotes!$H$5:$H$604,$D9,Quotes!$J$5:$J$604,J$4,Quotes!$R$5:$R$604,"&lt;&gt;Unavailable")=0,"",_xlfn.MINIFS(Quotes!$M$5:$M$604,Quotes!$E$5:$E$604,$B9,Quotes!$G$5:$G$604,$C9,Quotes!$H$5:$H$604,$D9,Quotes!$J$5:$J$604,J$4,Quotes!$R$5:$R$604,"&lt;&gt;Unavailable"))</f>
        <v/>
      </c>
      <c r="K9" s="23" t="n">
        <f aca="false">IF(COUNTIFS(Quotes!$E$5:$E$604,$B9,Quotes!$G$5:$G$604,$C9,Quotes!$H$5:$H$604,$D9,Quotes!$J$5:$J$604,K$4,Quotes!$R$5:$R$604,"&lt;&gt;Unavailable")=0,"",_xlfn.MINIFS(Quotes!$M$5:$M$604,Quotes!$E$5:$E$604,$B9,Quotes!$G$5:$G$604,$C9,Quotes!$H$5:$H$604,$D9,Quotes!$J$5:$J$604,K$4,Quotes!$R$5:$R$604,"&lt;&gt;Unavailable"))</f>
        <v>250</v>
      </c>
      <c r="L9" s="24" t="n">
        <f aca="false">IF(COUNT(E9:K9)=0,"",MIN(E9:K9))</f>
        <v>236.383881230117</v>
      </c>
      <c r="M9" s="25" t="str">
        <f aca="false">IF(L9="","",INDEX($E$4:$K$4,MATCH(L9,E9:K9,0)))</f>
        <v>Ottila</v>
      </c>
      <c r="N9" s="26" t="n">
        <f aca="false">IF(OR(K9="",COUNT(E9:J9)=0),"",K9-MIN(E9:J9))</f>
        <v>13.6161187698833</v>
      </c>
    </row>
    <row r="10" customFormat="false" ht="15" hidden="false" customHeight="false" outlineLevel="0" collapsed="false">
      <c r="A10" s="22" t="s">
        <v>72</v>
      </c>
      <c r="B10" s="22" t="s">
        <v>88</v>
      </c>
      <c r="C10" s="22" t="s">
        <v>89</v>
      </c>
      <c r="D10" s="22" t="s">
        <v>75</v>
      </c>
      <c r="E10" s="23" t="n">
        <f aca="false">IF(COUNTIFS(Quotes!$E$5:$E$604,$B10,Quotes!$G$5:$G$604,$C10,Quotes!$H$5:$H$604,$D10,Quotes!$J$5:$J$604,E$4,Quotes!$R$5:$R$604,"&lt;&gt;Unavailable")=0,"",_xlfn.MINIFS(Quotes!$M$5:$M$604,Quotes!$E$5:$E$604,$B10,Quotes!$G$5:$G$604,$C10,Quotes!$H$5:$H$604,$D10,Quotes!$J$5:$J$604,E$4,Quotes!$R$5:$R$604,"&lt;&gt;Unavailable"))</f>
        <v>182.279957582185</v>
      </c>
      <c r="F10" s="23" t="str">
        <f aca="false">IF(COUNTIFS(Quotes!$E$5:$E$604,$B10,Quotes!$G$5:$G$604,$C10,Quotes!$H$5:$H$604,$D10,Quotes!$J$5:$J$604,F$4,Quotes!$R$5:$R$604,"&lt;&gt;Unavailable")=0,"",_xlfn.MINIFS(Quotes!$M$5:$M$604,Quotes!$E$5:$E$604,$B10,Quotes!$G$5:$G$604,$C10,Quotes!$H$5:$H$604,$D10,Quotes!$J$5:$J$604,F$4,Quotes!$R$5:$R$604,"&lt;&gt;Unavailable"))</f>
        <v/>
      </c>
      <c r="G10" s="23" t="str">
        <f aca="false">IF(COUNTIFS(Quotes!$E$5:$E$604,$B10,Quotes!$G$5:$G$604,$C10,Quotes!$H$5:$H$604,$D10,Quotes!$J$5:$J$604,G$4,Quotes!$R$5:$R$604,"&lt;&gt;Unavailable")=0,"",_xlfn.MINIFS(Quotes!$M$5:$M$604,Quotes!$E$5:$E$604,$B10,Quotes!$G$5:$G$604,$C10,Quotes!$H$5:$H$604,$D10,Quotes!$J$5:$J$604,G$4,Quotes!$R$5:$R$604,"&lt;&gt;Unavailable"))</f>
        <v/>
      </c>
      <c r="H10" s="23" t="str">
        <f aca="false">IF(COUNTIFS(Quotes!$E$5:$E$604,$B10,Quotes!$G$5:$G$604,$C10,Quotes!$H$5:$H$604,$D10,Quotes!$J$5:$J$604,H$4,Quotes!$R$5:$R$604,"&lt;&gt;Unavailable")=0,"",_xlfn.MINIFS(Quotes!$M$5:$M$604,Quotes!$E$5:$E$604,$B10,Quotes!$G$5:$G$604,$C10,Quotes!$H$5:$H$604,$D10,Quotes!$J$5:$J$604,H$4,Quotes!$R$5:$R$604,"&lt;&gt;Unavailable"))</f>
        <v/>
      </c>
      <c r="I10" s="23" t="str">
        <f aca="false">IF(COUNTIFS(Quotes!$E$5:$E$604,$B10,Quotes!$G$5:$G$604,$C10,Quotes!$H$5:$H$604,$D10,Quotes!$J$5:$J$604,I$4,Quotes!$R$5:$R$604,"&lt;&gt;Unavailable")=0,"",_xlfn.MINIFS(Quotes!$M$5:$M$604,Quotes!$E$5:$E$604,$B10,Quotes!$G$5:$G$604,$C10,Quotes!$H$5:$H$604,$D10,Quotes!$J$5:$J$604,I$4,Quotes!$R$5:$R$604,"&lt;&gt;Unavailable"))</f>
        <v/>
      </c>
      <c r="J10" s="23" t="str">
        <f aca="false">IF(COUNTIFS(Quotes!$E$5:$E$604,$B10,Quotes!$G$5:$G$604,$C10,Quotes!$H$5:$H$604,$D10,Quotes!$J$5:$J$604,J$4,Quotes!$R$5:$R$604,"&lt;&gt;Unavailable")=0,"",_xlfn.MINIFS(Quotes!$M$5:$M$604,Quotes!$E$5:$E$604,$B10,Quotes!$G$5:$G$604,$C10,Quotes!$H$5:$H$604,$D10,Quotes!$J$5:$J$604,J$4,Quotes!$R$5:$R$604,"&lt;&gt;Unavailable"))</f>
        <v/>
      </c>
      <c r="K10" s="23" t="n">
        <f aca="false">IF(COUNTIFS(Quotes!$E$5:$E$604,$B10,Quotes!$G$5:$G$604,$C10,Quotes!$H$5:$H$604,$D10,Quotes!$J$5:$J$604,K$4,Quotes!$R$5:$R$604,"&lt;&gt;Unavailable")=0,"",_xlfn.MINIFS(Quotes!$M$5:$M$604,Quotes!$E$5:$E$604,$B10,Quotes!$G$5:$G$604,$C10,Quotes!$H$5:$H$604,$D10,Quotes!$J$5:$J$604,K$4,Quotes!$R$5:$R$604,"&lt;&gt;Unavailable"))</f>
        <v>329</v>
      </c>
      <c r="L10" s="24" t="n">
        <f aca="false">IF(COUNT(E10:K10)=0,"",MIN(E10:K10))</f>
        <v>182.279957582185</v>
      </c>
      <c r="M10" s="25" t="str">
        <f aca="false">IF(L10="","",INDEX($E$4:$K$4,MATCH(L10,E10:K10,0)))</f>
        <v>Ottila</v>
      </c>
      <c r="N10" s="26" t="n">
        <f aca="false">IF(OR(K10="",COUNT(E10:J10)=0),"",K10-MIN(E10:J10))</f>
        <v>146.720042417815</v>
      </c>
    </row>
    <row r="11" customFormat="false" ht="23.85" hidden="false" customHeight="false" outlineLevel="0" collapsed="false">
      <c r="A11" s="22" t="s">
        <v>72</v>
      </c>
      <c r="B11" s="22" t="s">
        <v>81</v>
      </c>
      <c r="C11" s="22" t="s">
        <v>94</v>
      </c>
      <c r="D11" s="22" t="s">
        <v>75</v>
      </c>
      <c r="E11" s="23" t="n">
        <f aca="false">IF(COUNTIFS(Quotes!$E$5:$E$604,$B11,Quotes!$G$5:$G$604,$C11,Quotes!$H$5:$H$604,$D11,Quotes!$J$5:$J$604,E$4,Quotes!$R$5:$R$604,"&lt;&gt;Unavailable")=0,"",_xlfn.MINIFS(Quotes!$M$5:$M$604,Quotes!$E$5:$E$604,$B11,Quotes!$G$5:$G$604,$C11,Quotes!$H$5:$H$604,$D11,Quotes!$J$5:$J$604,E$4,Quotes!$R$5:$R$604,"&lt;&gt;Unavailable"))</f>
        <v>170.201484623542</v>
      </c>
      <c r="F11" s="23" t="str">
        <f aca="false">IF(COUNTIFS(Quotes!$E$5:$E$604,$B11,Quotes!$G$5:$G$604,$C11,Quotes!$H$5:$H$604,$D11,Quotes!$J$5:$J$604,F$4,Quotes!$R$5:$R$604,"&lt;&gt;Unavailable")=0,"",_xlfn.MINIFS(Quotes!$M$5:$M$604,Quotes!$E$5:$E$604,$B11,Quotes!$G$5:$G$604,$C11,Quotes!$H$5:$H$604,$D11,Quotes!$J$5:$J$604,F$4,Quotes!$R$5:$R$604,"&lt;&gt;Unavailable"))</f>
        <v/>
      </c>
      <c r="G11" s="23" t="str">
        <f aca="false">IF(COUNTIFS(Quotes!$E$5:$E$604,$B11,Quotes!$G$5:$G$604,$C11,Quotes!$H$5:$H$604,$D11,Quotes!$J$5:$J$604,G$4,Quotes!$R$5:$R$604,"&lt;&gt;Unavailable")=0,"",_xlfn.MINIFS(Quotes!$M$5:$M$604,Quotes!$E$5:$E$604,$B11,Quotes!$G$5:$G$604,$C11,Quotes!$H$5:$H$604,$D11,Quotes!$J$5:$J$604,G$4,Quotes!$R$5:$R$604,"&lt;&gt;Unavailable"))</f>
        <v/>
      </c>
      <c r="H11" s="23" t="str">
        <f aca="false">IF(COUNTIFS(Quotes!$E$5:$E$604,$B11,Quotes!$G$5:$G$604,$C11,Quotes!$H$5:$H$604,$D11,Quotes!$J$5:$J$604,H$4,Quotes!$R$5:$R$604,"&lt;&gt;Unavailable")=0,"",_xlfn.MINIFS(Quotes!$M$5:$M$604,Quotes!$E$5:$E$604,$B11,Quotes!$G$5:$G$604,$C11,Quotes!$H$5:$H$604,$D11,Quotes!$J$5:$J$604,H$4,Quotes!$R$5:$R$604,"&lt;&gt;Unavailable"))</f>
        <v/>
      </c>
      <c r="I11" s="23" t="str">
        <f aca="false">IF(COUNTIFS(Quotes!$E$5:$E$604,$B11,Quotes!$G$5:$G$604,$C11,Quotes!$H$5:$H$604,$D11,Quotes!$J$5:$J$604,I$4,Quotes!$R$5:$R$604,"&lt;&gt;Unavailable")=0,"",_xlfn.MINIFS(Quotes!$M$5:$M$604,Quotes!$E$5:$E$604,$B11,Quotes!$G$5:$G$604,$C11,Quotes!$H$5:$H$604,$D11,Quotes!$J$5:$J$604,I$4,Quotes!$R$5:$R$604,"&lt;&gt;Unavailable"))</f>
        <v/>
      </c>
      <c r="J11" s="23" t="str">
        <f aca="false">IF(COUNTIFS(Quotes!$E$5:$E$604,$B11,Quotes!$G$5:$G$604,$C11,Quotes!$H$5:$H$604,$D11,Quotes!$J$5:$J$604,J$4,Quotes!$R$5:$R$604,"&lt;&gt;Unavailable")=0,"",_xlfn.MINIFS(Quotes!$M$5:$M$604,Quotes!$E$5:$E$604,$B11,Quotes!$G$5:$G$604,$C11,Quotes!$H$5:$H$604,$D11,Quotes!$J$5:$J$604,J$4,Quotes!$R$5:$R$604,"&lt;&gt;Unavailable"))</f>
        <v/>
      </c>
      <c r="K11" s="23" t="str">
        <f aca="false">IF(COUNTIFS(Quotes!$E$5:$E$604,$B11,Quotes!$G$5:$G$604,$C11,Quotes!$H$5:$H$604,$D11,Quotes!$J$5:$J$604,K$4,Quotes!$R$5:$R$604,"&lt;&gt;Unavailable")=0,"",_xlfn.MINIFS(Quotes!$M$5:$M$604,Quotes!$E$5:$E$604,$B11,Quotes!$G$5:$G$604,$C11,Quotes!$H$5:$H$604,$D11,Quotes!$J$5:$J$604,K$4,Quotes!$R$5:$R$604,"&lt;&gt;Unavailable"))</f>
        <v/>
      </c>
      <c r="L11" s="24" t="n">
        <f aca="false">IF(COUNT(E11:K11)=0,"",MIN(E11:K11))</f>
        <v>170.201484623542</v>
      </c>
      <c r="M11" s="25" t="str">
        <f aca="false">IF(L11="","",INDEX($E$4:$K$4,MATCH(L11,E11:K11,0)))</f>
        <v>Ottila</v>
      </c>
      <c r="N11" s="26" t="str">
        <f aca="false">IF(OR(K11="",COUNT(E11:J11)=0),"",K11-MIN(E11:J11))</f>
        <v/>
      </c>
    </row>
    <row r="12" customFormat="false" ht="23.85" hidden="false" customHeight="false" outlineLevel="0" collapsed="false">
      <c r="A12" s="22" t="s">
        <v>95</v>
      </c>
      <c r="B12" s="22" t="s">
        <v>96</v>
      </c>
      <c r="C12" s="22" t="s">
        <v>97</v>
      </c>
      <c r="D12" s="22" t="s">
        <v>75</v>
      </c>
      <c r="E12" s="23" t="n">
        <f aca="false">IF(COUNTIFS(Quotes!$E$5:$E$604,$B12,Quotes!$G$5:$G$604,$C12,Quotes!$H$5:$H$604,$D12,Quotes!$J$5:$J$604,E$4,Quotes!$R$5:$R$604,"&lt;&gt;Unavailable")=0,"",_xlfn.MINIFS(Quotes!$M$5:$M$604,Quotes!$E$5:$E$604,$B12,Quotes!$G$5:$G$604,$C12,Quotes!$H$5:$H$604,$D12,Quotes!$J$5:$J$604,E$4,Quotes!$R$5:$R$604,"&lt;&gt;Unavailable"))</f>
        <v>272.619300106045</v>
      </c>
      <c r="F12" s="23" t="str">
        <f aca="false">IF(COUNTIFS(Quotes!$E$5:$E$604,$B12,Quotes!$G$5:$G$604,$C12,Quotes!$H$5:$H$604,$D12,Quotes!$J$5:$J$604,F$4,Quotes!$R$5:$R$604,"&lt;&gt;Unavailable")=0,"",_xlfn.MINIFS(Quotes!$M$5:$M$604,Quotes!$E$5:$E$604,$B12,Quotes!$G$5:$G$604,$C12,Quotes!$H$5:$H$604,$D12,Quotes!$J$5:$J$604,F$4,Quotes!$R$5:$R$604,"&lt;&gt;Unavailable"))</f>
        <v/>
      </c>
      <c r="G12" s="23" t="str">
        <f aca="false">IF(COUNTIFS(Quotes!$E$5:$E$604,$B12,Quotes!$G$5:$G$604,$C12,Quotes!$H$5:$H$604,$D12,Quotes!$J$5:$J$604,G$4,Quotes!$R$5:$R$604,"&lt;&gt;Unavailable")=0,"",_xlfn.MINIFS(Quotes!$M$5:$M$604,Quotes!$E$5:$E$604,$B12,Quotes!$G$5:$G$604,$C12,Quotes!$H$5:$H$604,$D12,Quotes!$J$5:$J$604,G$4,Quotes!$R$5:$R$604,"&lt;&gt;Unavailable"))</f>
        <v/>
      </c>
      <c r="H12" s="23" t="str">
        <f aca="false">IF(COUNTIFS(Quotes!$E$5:$E$604,$B12,Quotes!$G$5:$G$604,$C12,Quotes!$H$5:$H$604,$D12,Quotes!$J$5:$J$604,H$4,Quotes!$R$5:$R$604,"&lt;&gt;Unavailable")=0,"",_xlfn.MINIFS(Quotes!$M$5:$M$604,Quotes!$E$5:$E$604,$B12,Quotes!$G$5:$G$604,$C12,Quotes!$H$5:$H$604,$D12,Quotes!$J$5:$J$604,H$4,Quotes!$R$5:$R$604,"&lt;&gt;Unavailable"))</f>
        <v/>
      </c>
      <c r="I12" s="23" t="str">
        <f aca="false">IF(COUNTIFS(Quotes!$E$5:$E$604,$B12,Quotes!$G$5:$G$604,$C12,Quotes!$H$5:$H$604,$D12,Quotes!$J$5:$J$604,I$4,Quotes!$R$5:$R$604,"&lt;&gt;Unavailable")=0,"",_xlfn.MINIFS(Quotes!$M$5:$M$604,Quotes!$E$5:$E$604,$B12,Quotes!$G$5:$G$604,$C12,Quotes!$H$5:$H$604,$D12,Quotes!$J$5:$J$604,I$4,Quotes!$R$5:$R$604,"&lt;&gt;Unavailable"))</f>
        <v/>
      </c>
      <c r="J12" s="23" t="str">
        <f aca="false">IF(COUNTIFS(Quotes!$E$5:$E$604,$B12,Quotes!$G$5:$G$604,$C12,Quotes!$H$5:$H$604,$D12,Quotes!$J$5:$J$604,J$4,Quotes!$R$5:$R$604,"&lt;&gt;Unavailable")=0,"",_xlfn.MINIFS(Quotes!$M$5:$M$604,Quotes!$E$5:$E$604,$B12,Quotes!$G$5:$G$604,$C12,Quotes!$H$5:$H$604,$D12,Quotes!$J$5:$J$604,J$4,Quotes!$R$5:$R$604,"&lt;&gt;Unavailable"))</f>
        <v/>
      </c>
      <c r="K12" s="23" t="n">
        <f aca="false">IF(COUNTIFS(Quotes!$E$5:$E$604,$B12,Quotes!$G$5:$G$604,$C12,Quotes!$H$5:$H$604,$D12,Quotes!$J$5:$J$604,K$4,Quotes!$R$5:$R$604,"&lt;&gt;Unavailable")=0,"",_xlfn.MINIFS(Quotes!$M$5:$M$604,Quotes!$E$5:$E$604,$B12,Quotes!$G$5:$G$604,$C12,Quotes!$H$5:$H$604,$D12,Quotes!$J$5:$J$604,K$4,Quotes!$R$5:$R$604,"&lt;&gt;Unavailable"))</f>
        <v>347.401908801697</v>
      </c>
      <c r="L12" s="24" t="n">
        <f aca="false">IF(COUNT(E12:K12)=0,"",MIN(E12:K12))</f>
        <v>272.619300106045</v>
      </c>
      <c r="M12" s="25" t="str">
        <f aca="false">IF(L12="","",INDEX($E$4:$K$4,MATCH(L12,E12:K12,0)))</f>
        <v>Ottila</v>
      </c>
      <c r="N12" s="26" t="n">
        <f aca="false">IF(OR(K12="",COUNT(E12:J12)=0),"",K12-MIN(E12:J12))</f>
        <v>74.7826086956522</v>
      </c>
    </row>
    <row r="13" customFormat="false" ht="23.85" hidden="false" customHeight="false" outlineLevel="0" collapsed="false">
      <c r="A13" s="22" t="s">
        <v>95</v>
      </c>
      <c r="B13" s="22" t="s">
        <v>98</v>
      </c>
      <c r="C13" s="22" t="s">
        <v>99</v>
      </c>
      <c r="D13" s="22" t="s">
        <v>75</v>
      </c>
      <c r="E13" s="23" t="n">
        <f aca="false">IF(COUNTIFS(Quotes!$E$5:$E$604,$B13,Quotes!$G$5:$G$604,$C13,Quotes!$H$5:$H$604,$D13,Quotes!$J$5:$J$604,E$4,Quotes!$R$5:$R$604,"&lt;&gt;Unavailable")=0,"",_xlfn.MINIFS(Quotes!$M$5:$M$604,Quotes!$E$5:$E$604,$B13,Quotes!$G$5:$G$604,$C13,Quotes!$H$5:$H$604,$D13,Quotes!$J$5:$J$604,E$4,Quotes!$R$5:$R$604,"&lt;&gt;Unavailable"))</f>
        <v>415.739130434783</v>
      </c>
      <c r="F13" s="23" t="str">
        <f aca="false">IF(COUNTIFS(Quotes!$E$5:$E$604,$B13,Quotes!$G$5:$G$604,$C13,Quotes!$H$5:$H$604,$D13,Quotes!$J$5:$J$604,F$4,Quotes!$R$5:$R$604,"&lt;&gt;Unavailable")=0,"",_xlfn.MINIFS(Quotes!$M$5:$M$604,Quotes!$E$5:$E$604,$B13,Quotes!$G$5:$G$604,$C13,Quotes!$H$5:$H$604,$D13,Quotes!$J$5:$J$604,F$4,Quotes!$R$5:$R$604,"&lt;&gt;Unavailable"))</f>
        <v/>
      </c>
      <c r="G13" s="23" t="str">
        <f aca="false">IF(COUNTIFS(Quotes!$E$5:$E$604,$B13,Quotes!$G$5:$G$604,$C13,Quotes!$H$5:$H$604,$D13,Quotes!$J$5:$J$604,G$4,Quotes!$R$5:$R$604,"&lt;&gt;Unavailable")=0,"",_xlfn.MINIFS(Quotes!$M$5:$M$604,Quotes!$E$5:$E$604,$B13,Quotes!$G$5:$G$604,$C13,Quotes!$H$5:$H$604,$D13,Quotes!$J$5:$J$604,G$4,Quotes!$R$5:$R$604,"&lt;&gt;Unavailable"))</f>
        <v/>
      </c>
      <c r="H13" s="23" t="str">
        <f aca="false">IF(COUNTIFS(Quotes!$E$5:$E$604,$B13,Quotes!$G$5:$G$604,$C13,Quotes!$H$5:$H$604,$D13,Quotes!$J$5:$J$604,H$4,Quotes!$R$5:$R$604,"&lt;&gt;Unavailable")=0,"",_xlfn.MINIFS(Quotes!$M$5:$M$604,Quotes!$E$5:$E$604,$B13,Quotes!$G$5:$G$604,$C13,Quotes!$H$5:$H$604,$D13,Quotes!$J$5:$J$604,H$4,Quotes!$R$5:$R$604,"&lt;&gt;Unavailable"))</f>
        <v/>
      </c>
      <c r="I13" s="23" t="str">
        <f aca="false">IF(COUNTIFS(Quotes!$E$5:$E$604,$B13,Quotes!$G$5:$G$604,$C13,Quotes!$H$5:$H$604,$D13,Quotes!$J$5:$J$604,I$4,Quotes!$R$5:$R$604,"&lt;&gt;Unavailable")=0,"",_xlfn.MINIFS(Quotes!$M$5:$M$604,Quotes!$E$5:$E$604,$B13,Quotes!$G$5:$G$604,$C13,Quotes!$H$5:$H$604,$D13,Quotes!$J$5:$J$604,I$4,Quotes!$R$5:$R$604,"&lt;&gt;Unavailable"))</f>
        <v/>
      </c>
      <c r="J13" s="23" t="n">
        <f aca="false">IF(COUNTIFS(Quotes!$E$5:$E$604,$B13,Quotes!$G$5:$G$604,$C13,Quotes!$H$5:$H$604,$D13,Quotes!$J$5:$J$604,J$4,Quotes!$R$5:$R$604,"&lt;&gt;Unavailable")=0,"",_xlfn.MINIFS(Quotes!$M$5:$M$604,Quotes!$E$5:$E$604,$B13,Quotes!$G$5:$G$604,$C13,Quotes!$H$5:$H$604,$D13,Quotes!$J$5:$J$604,J$4,Quotes!$R$5:$R$604,"&lt;&gt;Unavailable"))</f>
        <v>416</v>
      </c>
      <c r="K13" s="23" t="str">
        <f aca="false">IF(COUNTIFS(Quotes!$E$5:$E$604,$B13,Quotes!$G$5:$G$604,$C13,Quotes!$H$5:$H$604,$D13,Quotes!$J$5:$J$604,K$4,Quotes!$R$5:$R$604,"&lt;&gt;Unavailable")=0,"",_xlfn.MINIFS(Quotes!$M$5:$M$604,Quotes!$E$5:$E$604,$B13,Quotes!$G$5:$G$604,$C13,Quotes!$H$5:$H$604,$D13,Quotes!$J$5:$J$604,K$4,Quotes!$R$5:$R$604,"&lt;&gt;Unavailable"))</f>
        <v/>
      </c>
      <c r="L13" s="24" t="n">
        <f aca="false">IF(COUNT(E13:K13)=0,"",MIN(E13:K13))</f>
        <v>415.739130434783</v>
      </c>
      <c r="M13" s="25" t="str">
        <f aca="false">IF(L13="","",INDEX($E$4:$K$4,MATCH(L13,E13:K13,0)))</f>
        <v>Ottila</v>
      </c>
      <c r="N13" s="26" t="str">
        <f aca="false">IF(OR(K13="",COUNT(E13:J13)=0),"",K13-MIN(E13:J13))</f>
        <v/>
      </c>
    </row>
    <row r="14" customFormat="false" ht="23.85" hidden="false" customHeight="false" outlineLevel="0" collapsed="false">
      <c r="A14" s="22" t="s">
        <v>95</v>
      </c>
      <c r="B14" s="22" t="s">
        <v>102</v>
      </c>
      <c r="C14" s="22" t="s">
        <v>103</v>
      </c>
      <c r="D14" s="22" t="s">
        <v>104</v>
      </c>
      <c r="E14" s="23" t="str">
        <f aca="false">IF(COUNTIFS(Quotes!$E$5:$E$604,$B14,Quotes!$G$5:$G$604,$C14,Quotes!$H$5:$H$604,$D14,Quotes!$J$5:$J$604,E$4,Quotes!$R$5:$R$604,"&lt;&gt;Unavailable")=0,"",_xlfn.MINIFS(Quotes!$M$5:$M$604,Quotes!$E$5:$E$604,$B14,Quotes!$G$5:$G$604,$C14,Quotes!$H$5:$H$604,$D14,Quotes!$J$5:$J$604,E$4,Quotes!$R$5:$R$604,"&lt;&gt;Unavailable"))</f>
        <v/>
      </c>
      <c r="F14" s="23" t="str">
        <f aca="false">IF(COUNTIFS(Quotes!$E$5:$E$604,$B14,Quotes!$G$5:$G$604,$C14,Quotes!$H$5:$H$604,$D14,Quotes!$J$5:$J$604,F$4,Quotes!$R$5:$R$604,"&lt;&gt;Unavailable")=0,"",_xlfn.MINIFS(Quotes!$M$5:$M$604,Quotes!$E$5:$E$604,$B14,Quotes!$G$5:$G$604,$C14,Quotes!$H$5:$H$604,$D14,Quotes!$J$5:$J$604,F$4,Quotes!$R$5:$R$604,"&lt;&gt;Unavailable"))</f>
        <v/>
      </c>
      <c r="G14" s="23" t="n">
        <f aca="false">IF(COUNTIFS(Quotes!$E$5:$E$604,$B14,Quotes!$G$5:$G$604,$C14,Quotes!$H$5:$H$604,$D14,Quotes!$J$5:$J$604,G$4,Quotes!$R$5:$R$604,"&lt;&gt;Unavailable")=0,"",_xlfn.MINIFS(Quotes!$M$5:$M$604,Quotes!$E$5:$E$604,$B14,Quotes!$G$5:$G$604,$C14,Quotes!$H$5:$H$604,$D14,Quotes!$J$5:$J$604,G$4,Quotes!$R$5:$R$604,"&lt;&gt;Unavailable"))</f>
        <v>340</v>
      </c>
      <c r="H14" s="23" t="str">
        <f aca="false">IF(COUNTIFS(Quotes!$E$5:$E$604,$B14,Quotes!$G$5:$G$604,$C14,Quotes!$H$5:$H$604,$D14,Quotes!$J$5:$J$604,H$4,Quotes!$R$5:$R$604,"&lt;&gt;Unavailable")=0,"",_xlfn.MINIFS(Quotes!$M$5:$M$604,Quotes!$E$5:$E$604,$B14,Quotes!$G$5:$G$604,$C14,Quotes!$H$5:$H$604,$D14,Quotes!$J$5:$J$604,H$4,Quotes!$R$5:$R$604,"&lt;&gt;Unavailable"))</f>
        <v/>
      </c>
      <c r="I14" s="23" t="str">
        <f aca="false">IF(COUNTIFS(Quotes!$E$5:$E$604,$B14,Quotes!$G$5:$G$604,$C14,Quotes!$H$5:$H$604,$D14,Quotes!$J$5:$J$604,I$4,Quotes!$R$5:$R$604,"&lt;&gt;Unavailable")=0,"",_xlfn.MINIFS(Quotes!$M$5:$M$604,Quotes!$E$5:$E$604,$B14,Quotes!$G$5:$G$604,$C14,Quotes!$H$5:$H$604,$D14,Quotes!$J$5:$J$604,I$4,Quotes!$R$5:$R$604,"&lt;&gt;Unavailable"))</f>
        <v/>
      </c>
      <c r="J14" s="23" t="str">
        <f aca="false">IF(COUNTIFS(Quotes!$E$5:$E$604,$B14,Quotes!$G$5:$G$604,$C14,Quotes!$H$5:$H$604,$D14,Quotes!$J$5:$J$604,J$4,Quotes!$R$5:$R$604,"&lt;&gt;Unavailable")=0,"",_xlfn.MINIFS(Quotes!$M$5:$M$604,Quotes!$E$5:$E$604,$B14,Quotes!$G$5:$G$604,$C14,Quotes!$H$5:$H$604,$D14,Quotes!$J$5:$J$604,J$4,Quotes!$R$5:$R$604,"&lt;&gt;Unavailable"))</f>
        <v/>
      </c>
      <c r="K14" s="23" t="n">
        <f aca="false">IF(COUNTIFS(Quotes!$E$5:$E$604,$B14,Quotes!$G$5:$G$604,$C14,Quotes!$H$5:$H$604,$D14,Quotes!$J$5:$J$604,K$4,Quotes!$R$5:$R$604,"&lt;&gt;Unavailable")=0,"",_xlfn.MINIFS(Quotes!$M$5:$M$604,Quotes!$E$5:$E$604,$B14,Quotes!$G$5:$G$604,$C14,Quotes!$H$5:$H$604,$D14,Quotes!$J$5:$J$604,K$4,Quotes!$R$5:$R$604,"&lt;&gt;Unavailable"))</f>
        <v>438.176033934252</v>
      </c>
      <c r="L14" s="24" t="n">
        <f aca="false">IF(COUNT(E14:K14)=0,"",MIN(E14:K14))</f>
        <v>340</v>
      </c>
      <c r="M14" s="25" t="str">
        <f aca="false">IF(L14="","",INDEX($E$4:$K$4,MATCH(L14,E14:K14,0)))</f>
        <v>BTR</v>
      </c>
      <c r="N14" s="26" t="n">
        <f aca="false">IF(OR(K14="",COUNT(E14:J14)=0),"",K14-MIN(E14:J14))</f>
        <v>98.1760339342524</v>
      </c>
    </row>
    <row r="15" customFormat="false" ht="23.85" hidden="false" customHeight="false" outlineLevel="0" collapsed="false">
      <c r="A15" s="22" t="s">
        <v>95</v>
      </c>
      <c r="B15" s="22" t="s">
        <v>107</v>
      </c>
      <c r="C15" s="22" t="s">
        <v>108</v>
      </c>
      <c r="D15" s="22" t="s">
        <v>75</v>
      </c>
      <c r="E15" s="23" t="n">
        <f aca="false">IF(COUNTIFS(Quotes!$E$5:$E$604,$B15,Quotes!$G$5:$G$604,$C15,Quotes!$H$5:$H$604,$D15,Quotes!$J$5:$J$604,E$4,Quotes!$R$5:$R$604,"&lt;&gt;Unavailable")=0,"",_xlfn.MINIFS(Quotes!$M$5:$M$604,Quotes!$E$5:$E$604,$B15,Quotes!$G$5:$G$604,$C15,Quotes!$H$5:$H$604,$D15,Quotes!$J$5:$J$604,E$4,Quotes!$R$5:$R$604,"&lt;&gt;Unavailable"))</f>
        <v>284.379639448568</v>
      </c>
      <c r="F15" s="23" t="str">
        <f aca="false">IF(COUNTIFS(Quotes!$E$5:$E$604,$B15,Quotes!$G$5:$G$604,$C15,Quotes!$H$5:$H$604,$D15,Quotes!$J$5:$J$604,F$4,Quotes!$R$5:$R$604,"&lt;&gt;Unavailable")=0,"",_xlfn.MINIFS(Quotes!$M$5:$M$604,Quotes!$E$5:$E$604,$B15,Quotes!$G$5:$G$604,$C15,Quotes!$H$5:$H$604,$D15,Quotes!$J$5:$J$604,F$4,Quotes!$R$5:$R$604,"&lt;&gt;Unavailable"))</f>
        <v/>
      </c>
      <c r="G15" s="23" t="str">
        <f aca="false">IF(COUNTIFS(Quotes!$E$5:$E$604,$B15,Quotes!$G$5:$G$604,$C15,Quotes!$H$5:$H$604,$D15,Quotes!$J$5:$J$604,G$4,Quotes!$R$5:$R$604,"&lt;&gt;Unavailable")=0,"",_xlfn.MINIFS(Quotes!$M$5:$M$604,Quotes!$E$5:$E$604,$B15,Quotes!$G$5:$G$604,$C15,Quotes!$H$5:$H$604,$D15,Quotes!$J$5:$J$604,G$4,Quotes!$R$5:$R$604,"&lt;&gt;Unavailable"))</f>
        <v/>
      </c>
      <c r="H15" s="23" t="str">
        <f aca="false">IF(COUNTIFS(Quotes!$E$5:$E$604,$B15,Quotes!$G$5:$G$604,$C15,Quotes!$H$5:$H$604,$D15,Quotes!$J$5:$J$604,H$4,Quotes!$R$5:$R$604,"&lt;&gt;Unavailable")=0,"",_xlfn.MINIFS(Quotes!$M$5:$M$604,Quotes!$E$5:$E$604,$B15,Quotes!$G$5:$G$604,$C15,Quotes!$H$5:$H$604,$D15,Quotes!$J$5:$J$604,H$4,Quotes!$R$5:$R$604,"&lt;&gt;Unavailable"))</f>
        <v/>
      </c>
      <c r="I15" s="23" t="str">
        <f aca="false">IF(COUNTIFS(Quotes!$E$5:$E$604,$B15,Quotes!$G$5:$G$604,$C15,Quotes!$H$5:$H$604,$D15,Quotes!$J$5:$J$604,I$4,Quotes!$R$5:$R$604,"&lt;&gt;Unavailable")=0,"",_xlfn.MINIFS(Quotes!$M$5:$M$604,Quotes!$E$5:$E$604,$B15,Quotes!$G$5:$G$604,$C15,Quotes!$H$5:$H$604,$D15,Quotes!$J$5:$J$604,I$4,Quotes!$R$5:$R$604,"&lt;&gt;Unavailable"))</f>
        <v/>
      </c>
      <c r="J15" s="23" t="str">
        <f aca="false">IF(COUNTIFS(Quotes!$E$5:$E$604,$B15,Quotes!$G$5:$G$604,$C15,Quotes!$H$5:$H$604,$D15,Quotes!$J$5:$J$604,J$4,Quotes!$R$5:$R$604,"&lt;&gt;Unavailable")=0,"",_xlfn.MINIFS(Quotes!$M$5:$M$604,Quotes!$E$5:$E$604,$B15,Quotes!$G$5:$G$604,$C15,Quotes!$H$5:$H$604,$D15,Quotes!$J$5:$J$604,J$4,Quotes!$R$5:$R$604,"&lt;&gt;Unavailable"))</f>
        <v/>
      </c>
      <c r="K15" s="23" t="str">
        <f aca="false">IF(COUNTIFS(Quotes!$E$5:$E$604,$B15,Quotes!$G$5:$G$604,$C15,Quotes!$H$5:$H$604,$D15,Quotes!$J$5:$J$604,K$4,Quotes!$R$5:$R$604,"&lt;&gt;Unavailable")=0,"",_xlfn.MINIFS(Quotes!$M$5:$M$604,Quotes!$E$5:$E$604,$B15,Quotes!$G$5:$G$604,$C15,Quotes!$H$5:$H$604,$D15,Quotes!$J$5:$J$604,K$4,Quotes!$R$5:$R$604,"&lt;&gt;Unavailable"))</f>
        <v/>
      </c>
      <c r="L15" s="24" t="n">
        <f aca="false">IF(COUNT(E15:K15)=0,"",MIN(E15:K15))</f>
        <v>284.379639448568</v>
      </c>
      <c r="M15" s="25" t="str">
        <f aca="false">IF(L15="","",INDEX($E$4:$K$4,MATCH(L15,E15:K15,0)))</f>
        <v>Ottila</v>
      </c>
      <c r="N15" s="26" t="str">
        <f aca="false">IF(OR(K15="",COUNT(E15:J15)=0),"",K15-MIN(E15:J15))</f>
        <v/>
      </c>
    </row>
    <row r="16" customFormat="false" ht="23.85" hidden="false" customHeight="false" outlineLevel="0" collapsed="false">
      <c r="A16" s="22" t="s">
        <v>95</v>
      </c>
      <c r="B16" s="22" t="s">
        <v>107</v>
      </c>
      <c r="C16" s="22" t="s">
        <v>110</v>
      </c>
      <c r="D16" s="22" t="s">
        <v>104</v>
      </c>
      <c r="E16" s="23" t="str">
        <f aca="false">IF(COUNTIFS(Quotes!$E$5:$E$604,$B16,Quotes!$G$5:$G$604,$C16,Quotes!$H$5:$H$604,$D16,Quotes!$J$5:$J$604,E$4,Quotes!$R$5:$R$604,"&lt;&gt;Unavailable")=0,"",_xlfn.MINIFS(Quotes!$M$5:$M$604,Quotes!$E$5:$E$604,$B16,Quotes!$G$5:$G$604,$C16,Quotes!$H$5:$H$604,$D16,Quotes!$J$5:$J$604,E$4,Quotes!$R$5:$R$604,"&lt;&gt;Unavailable"))</f>
        <v/>
      </c>
      <c r="F16" s="23" t="str">
        <f aca="false">IF(COUNTIFS(Quotes!$E$5:$E$604,$B16,Quotes!$G$5:$G$604,$C16,Quotes!$H$5:$H$604,$D16,Quotes!$J$5:$J$604,F$4,Quotes!$R$5:$R$604,"&lt;&gt;Unavailable")=0,"",_xlfn.MINIFS(Quotes!$M$5:$M$604,Quotes!$E$5:$E$604,$B16,Quotes!$G$5:$G$604,$C16,Quotes!$H$5:$H$604,$D16,Quotes!$J$5:$J$604,F$4,Quotes!$R$5:$R$604,"&lt;&gt;Unavailable"))</f>
        <v/>
      </c>
      <c r="G16" s="23" t="str">
        <f aca="false">IF(COUNTIFS(Quotes!$E$5:$E$604,$B16,Quotes!$G$5:$G$604,$C16,Quotes!$H$5:$H$604,$D16,Quotes!$J$5:$J$604,G$4,Quotes!$R$5:$R$604,"&lt;&gt;Unavailable")=0,"",_xlfn.MINIFS(Quotes!$M$5:$M$604,Quotes!$E$5:$E$604,$B16,Quotes!$G$5:$G$604,$C16,Quotes!$H$5:$H$604,$D16,Quotes!$J$5:$J$604,G$4,Quotes!$R$5:$R$604,"&lt;&gt;Unavailable"))</f>
        <v/>
      </c>
      <c r="H16" s="23" t="str">
        <f aca="false">IF(COUNTIFS(Quotes!$E$5:$E$604,$B16,Quotes!$G$5:$G$604,$C16,Quotes!$H$5:$H$604,$D16,Quotes!$J$5:$J$604,H$4,Quotes!$R$5:$R$604,"&lt;&gt;Unavailable")=0,"",_xlfn.MINIFS(Quotes!$M$5:$M$604,Quotes!$E$5:$E$604,$B16,Quotes!$G$5:$G$604,$C16,Quotes!$H$5:$H$604,$D16,Quotes!$J$5:$J$604,H$4,Quotes!$R$5:$R$604,"&lt;&gt;Unavailable"))</f>
        <v/>
      </c>
      <c r="I16" s="23" t="n">
        <f aca="false">IF(COUNTIFS(Quotes!$E$5:$E$604,$B16,Quotes!$G$5:$G$604,$C16,Quotes!$H$5:$H$604,$D16,Quotes!$J$5:$J$604,I$4,Quotes!$R$5:$R$604,"&lt;&gt;Unavailable")=0,"",_xlfn.MINIFS(Quotes!$M$5:$M$604,Quotes!$E$5:$E$604,$B16,Quotes!$G$5:$G$604,$C16,Quotes!$H$5:$H$604,$D16,Quotes!$J$5:$J$604,I$4,Quotes!$R$5:$R$604,"&lt;&gt;Unavailable"))</f>
        <v>520.763520678685</v>
      </c>
      <c r="J16" s="23" t="str">
        <f aca="false">IF(COUNTIFS(Quotes!$E$5:$E$604,$B16,Quotes!$G$5:$G$604,$C16,Quotes!$H$5:$H$604,$D16,Quotes!$J$5:$J$604,J$4,Quotes!$R$5:$R$604,"&lt;&gt;Unavailable")=0,"",_xlfn.MINIFS(Quotes!$M$5:$M$604,Quotes!$E$5:$E$604,$B16,Quotes!$G$5:$G$604,$C16,Quotes!$H$5:$H$604,$D16,Quotes!$J$5:$J$604,J$4,Quotes!$R$5:$R$604,"&lt;&gt;Unavailable"))</f>
        <v/>
      </c>
      <c r="K16" s="23" t="str">
        <f aca="false">IF(COUNTIFS(Quotes!$E$5:$E$604,$B16,Quotes!$G$5:$G$604,$C16,Quotes!$H$5:$H$604,$D16,Quotes!$J$5:$J$604,K$4,Quotes!$R$5:$R$604,"&lt;&gt;Unavailable")=0,"",_xlfn.MINIFS(Quotes!$M$5:$M$604,Quotes!$E$5:$E$604,$B16,Quotes!$G$5:$G$604,$C16,Quotes!$H$5:$H$604,$D16,Quotes!$J$5:$J$604,K$4,Quotes!$R$5:$R$604,"&lt;&gt;Unavailable"))</f>
        <v/>
      </c>
      <c r="L16" s="24" t="n">
        <f aca="false">IF(COUNT(E16:K16)=0,"",MIN(E16:K16))</f>
        <v>520.763520678685</v>
      </c>
      <c r="M16" s="25" t="str">
        <f aca="false">IF(L16="","",INDEX($E$4:$K$4,MATCH(L16,E16:K16,0)))</f>
        <v>Direct</v>
      </c>
      <c r="N16" s="26" t="str">
        <f aca="false">IF(OR(K16="",COUNT(E16:J16)=0),"",K16-MIN(E16:J16))</f>
        <v/>
      </c>
    </row>
    <row r="17" customFormat="false" ht="15" hidden="false" customHeight="false" outlineLevel="0" collapsed="false">
      <c r="A17" s="22" t="s">
        <v>112</v>
      </c>
      <c r="B17" s="22" t="s">
        <v>113</v>
      </c>
      <c r="C17" s="22" t="s">
        <v>114</v>
      </c>
      <c r="D17" s="22" t="s">
        <v>75</v>
      </c>
      <c r="E17" s="23" t="n">
        <f aca="false">IF(COUNTIFS(Quotes!$E$5:$E$604,$B17,Quotes!$G$5:$G$604,$C17,Quotes!$H$5:$H$604,$D17,Quotes!$J$5:$J$604,E$4,Quotes!$R$5:$R$604,"&lt;&gt;Unavailable")=0,"",_xlfn.MINIFS(Quotes!$M$5:$M$604,Quotes!$E$5:$E$604,$B17,Quotes!$G$5:$G$604,$C17,Quotes!$H$5:$H$604,$D17,Quotes!$J$5:$J$604,E$4,Quotes!$R$5:$R$604,"&lt;&gt;Unavailable"))</f>
        <v>249.872746553553</v>
      </c>
      <c r="F17" s="23" t="str">
        <f aca="false">IF(COUNTIFS(Quotes!$E$5:$E$604,$B17,Quotes!$G$5:$G$604,$C17,Quotes!$H$5:$H$604,$D17,Quotes!$J$5:$J$604,F$4,Quotes!$R$5:$R$604,"&lt;&gt;Unavailable")=0,"",_xlfn.MINIFS(Quotes!$M$5:$M$604,Quotes!$E$5:$E$604,$B17,Quotes!$G$5:$G$604,$C17,Quotes!$H$5:$H$604,$D17,Quotes!$J$5:$J$604,F$4,Quotes!$R$5:$R$604,"&lt;&gt;Unavailable"))</f>
        <v/>
      </c>
      <c r="G17" s="23" t="str">
        <f aca="false">IF(COUNTIFS(Quotes!$E$5:$E$604,$B17,Quotes!$G$5:$G$604,$C17,Quotes!$H$5:$H$604,$D17,Quotes!$J$5:$J$604,G$4,Quotes!$R$5:$R$604,"&lt;&gt;Unavailable")=0,"",_xlfn.MINIFS(Quotes!$M$5:$M$604,Quotes!$E$5:$E$604,$B17,Quotes!$G$5:$G$604,$C17,Quotes!$H$5:$H$604,$D17,Quotes!$J$5:$J$604,G$4,Quotes!$R$5:$R$604,"&lt;&gt;Unavailable"))</f>
        <v/>
      </c>
      <c r="H17" s="23" t="str">
        <f aca="false">IF(COUNTIFS(Quotes!$E$5:$E$604,$B17,Quotes!$G$5:$G$604,$C17,Quotes!$H$5:$H$604,$D17,Quotes!$J$5:$J$604,H$4,Quotes!$R$5:$R$604,"&lt;&gt;Unavailable")=0,"",_xlfn.MINIFS(Quotes!$M$5:$M$604,Quotes!$E$5:$E$604,$B17,Quotes!$G$5:$G$604,$C17,Quotes!$H$5:$H$604,$D17,Quotes!$J$5:$J$604,H$4,Quotes!$R$5:$R$604,"&lt;&gt;Unavailable"))</f>
        <v/>
      </c>
      <c r="I17" s="23" t="str">
        <f aca="false">IF(COUNTIFS(Quotes!$E$5:$E$604,$B17,Quotes!$G$5:$G$604,$C17,Quotes!$H$5:$H$604,$D17,Quotes!$J$5:$J$604,I$4,Quotes!$R$5:$R$604,"&lt;&gt;Unavailable")=0,"",_xlfn.MINIFS(Quotes!$M$5:$M$604,Quotes!$E$5:$E$604,$B17,Quotes!$G$5:$G$604,$C17,Quotes!$H$5:$H$604,$D17,Quotes!$J$5:$J$604,I$4,Quotes!$R$5:$R$604,"&lt;&gt;Unavailable"))</f>
        <v/>
      </c>
      <c r="J17" s="23" t="str">
        <f aca="false">IF(COUNTIFS(Quotes!$E$5:$E$604,$B17,Quotes!$G$5:$G$604,$C17,Quotes!$H$5:$H$604,$D17,Quotes!$J$5:$J$604,J$4,Quotes!$R$5:$R$604,"&lt;&gt;Unavailable")=0,"",_xlfn.MINIFS(Quotes!$M$5:$M$604,Quotes!$E$5:$E$604,$B17,Quotes!$G$5:$G$604,$C17,Quotes!$H$5:$H$604,$D17,Quotes!$J$5:$J$604,J$4,Quotes!$R$5:$R$604,"&lt;&gt;Unavailable"))</f>
        <v/>
      </c>
      <c r="K17" s="23" t="n">
        <f aca="false">IF(COUNTIFS(Quotes!$E$5:$E$604,$B17,Quotes!$G$5:$G$604,$C17,Quotes!$H$5:$H$604,$D17,Quotes!$J$5:$J$604,K$4,Quotes!$R$5:$R$604,"&lt;&gt;Unavailable")=0,"",_xlfn.MINIFS(Quotes!$M$5:$M$604,Quotes!$E$5:$E$604,$B17,Quotes!$G$5:$G$604,$C17,Quotes!$H$5:$H$604,$D17,Quotes!$J$5:$J$604,K$4,Quotes!$R$5:$R$604,"&lt;&gt;Unavailable"))</f>
        <v>325</v>
      </c>
      <c r="L17" s="24" t="n">
        <f aca="false">IF(COUNT(E17:K17)=0,"",MIN(E17:K17))</f>
        <v>249.872746553553</v>
      </c>
      <c r="M17" s="25" t="str">
        <f aca="false">IF(L17="","",INDEX($E$4:$K$4,MATCH(L17,E17:K17,0)))</f>
        <v>Ottila</v>
      </c>
      <c r="N17" s="26" t="n">
        <f aca="false">IF(OR(K17="",COUNT(E17:J17)=0),"",K17-MIN(E17:J17))</f>
        <v>75.1272534464475</v>
      </c>
    </row>
    <row r="18" customFormat="false" ht="15" hidden="false" customHeight="false" outlineLevel="0" collapsed="false">
      <c r="A18" s="22" t="s">
        <v>112</v>
      </c>
      <c r="B18" s="22" t="s">
        <v>115</v>
      </c>
      <c r="C18" s="22" t="s">
        <v>116</v>
      </c>
      <c r="D18" s="22" t="s">
        <v>117</v>
      </c>
      <c r="E18" s="23" t="n">
        <f aca="false">IF(COUNTIFS(Quotes!$E$5:$E$604,$B18,Quotes!$G$5:$G$604,$C18,Quotes!$H$5:$H$604,$D18,Quotes!$J$5:$J$604,E$4,Quotes!$R$5:$R$604,"&lt;&gt;Unavailable")=0,"",_xlfn.MINIFS(Quotes!$M$5:$M$604,Quotes!$E$5:$E$604,$B18,Quotes!$G$5:$G$604,$C18,Quotes!$H$5:$H$604,$D18,Quotes!$J$5:$J$604,E$4,Quotes!$R$5:$R$604,"&lt;&gt;Unavailable"))</f>
        <v>1123.07529162248</v>
      </c>
      <c r="F18" s="23" t="str">
        <f aca="false">IF(COUNTIFS(Quotes!$E$5:$E$604,$B18,Quotes!$G$5:$G$604,$C18,Quotes!$H$5:$H$604,$D18,Quotes!$J$5:$J$604,F$4,Quotes!$R$5:$R$604,"&lt;&gt;Unavailable")=0,"",_xlfn.MINIFS(Quotes!$M$5:$M$604,Quotes!$E$5:$E$604,$B18,Quotes!$G$5:$G$604,$C18,Quotes!$H$5:$H$604,$D18,Quotes!$J$5:$J$604,F$4,Quotes!$R$5:$R$604,"&lt;&gt;Unavailable"))</f>
        <v/>
      </c>
      <c r="G18" s="23" t="str">
        <f aca="false">IF(COUNTIFS(Quotes!$E$5:$E$604,$B18,Quotes!$G$5:$G$604,$C18,Quotes!$H$5:$H$604,$D18,Quotes!$J$5:$J$604,G$4,Quotes!$R$5:$R$604,"&lt;&gt;Unavailable")=0,"",_xlfn.MINIFS(Quotes!$M$5:$M$604,Quotes!$E$5:$E$604,$B18,Quotes!$G$5:$G$604,$C18,Quotes!$H$5:$H$604,$D18,Quotes!$J$5:$J$604,G$4,Quotes!$R$5:$R$604,"&lt;&gt;Unavailable"))</f>
        <v/>
      </c>
      <c r="H18" s="23" t="str">
        <f aca="false">IF(COUNTIFS(Quotes!$E$5:$E$604,$B18,Quotes!$G$5:$G$604,$C18,Quotes!$H$5:$H$604,$D18,Quotes!$J$5:$J$604,H$4,Quotes!$R$5:$R$604,"&lt;&gt;Unavailable")=0,"",_xlfn.MINIFS(Quotes!$M$5:$M$604,Quotes!$E$5:$E$604,$B18,Quotes!$G$5:$G$604,$C18,Quotes!$H$5:$H$604,$D18,Quotes!$J$5:$J$604,H$4,Quotes!$R$5:$R$604,"&lt;&gt;Unavailable"))</f>
        <v/>
      </c>
      <c r="I18" s="23" t="str">
        <f aca="false">IF(COUNTIFS(Quotes!$E$5:$E$604,$B18,Quotes!$G$5:$G$604,$C18,Quotes!$H$5:$H$604,$D18,Quotes!$J$5:$J$604,I$4,Quotes!$R$5:$R$604,"&lt;&gt;Unavailable")=0,"",_xlfn.MINIFS(Quotes!$M$5:$M$604,Quotes!$E$5:$E$604,$B18,Quotes!$G$5:$G$604,$C18,Quotes!$H$5:$H$604,$D18,Quotes!$J$5:$J$604,I$4,Quotes!$R$5:$R$604,"&lt;&gt;Unavailable"))</f>
        <v/>
      </c>
      <c r="J18" s="23" t="str">
        <f aca="false">IF(COUNTIFS(Quotes!$E$5:$E$604,$B18,Quotes!$G$5:$G$604,$C18,Quotes!$H$5:$H$604,$D18,Quotes!$J$5:$J$604,J$4,Quotes!$R$5:$R$604,"&lt;&gt;Unavailable")=0,"",_xlfn.MINIFS(Quotes!$M$5:$M$604,Quotes!$E$5:$E$604,$B18,Quotes!$G$5:$G$604,$C18,Quotes!$H$5:$H$604,$D18,Quotes!$J$5:$J$604,J$4,Quotes!$R$5:$R$604,"&lt;&gt;Unavailable"))</f>
        <v/>
      </c>
      <c r="K18" s="23" t="str">
        <f aca="false">IF(COUNTIFS(Quotes!$E$5:$E$604,$B18,Quotes!$G$5:$G$604,$C18,Quotes!$H$5:$H$604,$D18,Quotes!$J$5:$J$604,K$4,Quotes!$R$5:$R$604,"&lt;&gt;Unavailable")=0,"",_xlfn.MINIFS(Quotes!$M$5:$M$604,Quotes!$E$5:$E$604,$B18,Quotes!$G$5:$G$604,$C18,Quotes!$H$5:$H$604,$D18,Quotes!$J$5:$J$604,K$4,Quotes!$R$5:$R$604,"&lt;&gt;Unavailable"))</f>
        <v/>
      </c>
      <c r="L18" s="24" t="n">
        <f aca="false">IF(COUNT(E18:K18)=0,"",MIN(E18:K18))</f>
        <v>1123.07529162248</v>
      </c>
      <c r="M18" s="25" t="str">
        <f aca="false">IF(L18="","",INDEX($E$4:$K$4,MATCH(L18,E18:K18,0)))</f>
        <v>Ottila</v>
      </c>
      <c r="N18" s="26" t="str">
        <f aca="false">IF(OR(K18="",COUNT(E18:J18)=0),"",K18-MIN(E18:J18))</f>
        <v/>
      </c>
    </row>
    <row r="19" customFormat="false" ht="15" hidden="false" customHeight="false" outlineLevel="0" collapsed="false">
      <c r="A19" s="22" t="s">
        <v>112</v>
      </c>
      <c r="B19" s="22" t="s">
        <v>115</v>
      </c>
      <c r="C19" s="22" t="s">
        <v>118</v>
      </c>
      <c r="D19" s="22" t="s">
        <v>117</v>
      </c>
      <c r="E19" s="23" t="n">
        <f aca="false">IF(COUNTIFS(Quotes!$E$5:$E$604,$B19,Quotes!$G$5:$G$604,$C19,Quotes!$H$5:$H$604,$D19,Quotes!$J$5:$J$604,E$4,Quotes!$R$5:$R$604,"&lt;&gt;Unavailable")=0,"",_xlfn.MINIFS(Quotes!$M$5:$M$604,Quotes!$E$5:$E$604,$B19,Quotes!$G$5:$G$604,$C19,Quotes!$H$5:$H$604,$D19,Quotes!$J$5:$J$604,E$4,Quotes!$R$5:$R$604,"&lt;&gt;Unavailable"))</f>
        <v>850.010604453871</v>
      </c>
      <c r="F19" s="23" t="str">
        <f aca="false">IF(COUNTIFS(Quotes!$E$5:$E$604,$B19,Quotes!$G$5:$G$604,$C19,Quotes!$H$5:$H$604,$D19,Quotes!$J$5:$J$604,F$4,Quotes!$R$5:$R$604,"&lt;&gt;Unavailable")=0,"",_xlfn.MINIFS(Quotes!$M$5:$M$604,Quotes!$E$5:$E$604,$B19,Quotes!$G$5:$G$604,$C19,Quotes!$H$5:$H$604,$D19,Quotes!$J$5:$J$604,F$4,Quotes!$R$5:$R$604,"&lt;&gt;Unavailable"))</f>
        <v/>
      </c>
      <c r="G19" s="23" t="str">
        <f aca="false">IF(COUNTIFS(Quotes!$E$5:$E$604,$B19,Quotes!$G$5:$G$604,$C19,Quotes!$H$5:$H$604,$D19,Quotes!$J$5:$J$604,G$4,Quotes!$R$5:$R$604,"&lt;&gt;Unavailable")=0,"",_xlfn.MINIFS(Quotes!$M$5:$M$604,Quotes!$E$5:$E$604,$B19,Quotes!$G$5:$G$604,$C19,Quotes!$H$5:$H$604,$D19,Quotes!$J$5:$J$604,G$4,Quotes!$R$5:$R$604,"&lt;&gt;Unavailable"))</f>
        <v/>
      </c>
      <c r="H19" s="23" t="str">
        <f aca="false">IF(COUNTIFS(Quotes!$E$5:$E$604,$B19,Quotes!$G$5:$G$604,$C19,Quotes!$H$5:$H$604,$D19,Quotes!$J$5:$J$604,H$4,Quotes!$R$5:$R$604,"&lt;&gt;Unavailable")=0,"",_xlfn.MINIFS(Quotes!$M$5:$M$604,Quotes!$E$5:$E$604,$B19,Quotes!$G$5:$G$604,$C19,Quotes!$H$5:$H$604,$D19,Quotes!$J$5:$J$604,H$4,Quotes!$R$5:$R$604,"&lt;&gt;Unavailable"))</f>
        <v/>
      </c>
      <c r="I19" s="23" t="str">
        <f aca="false">IF(COUNTIFS(Quotes!$E$5:$E$604,$B19,Quotes!$G$5:$G$604,$C19,Quotes!$H$5:$H$604,$D19,Quotes!$J$5:$J$604,I$4,Quotes!$R$5:$R$604,"&lt;&gt;Unavailable")=0,"",_xlfn.MINIFS(Quotes!$M$5:$M$604,Quotes!$E$5:$E$604,$B19,Quotes!$G$5:$G$604,$C19,Quotes!$H$5:$H$604,$D19,Quotes!$J$5:$J$604,I$4,Quotes!$R$5:$R$604,"&lt;&gt;Unavailable"))</f>
        <v/>
      </c>
      <c r="J19" s="23" t="str">
        <f aca="false">IF(COUNTIFS(Quotes!$E$5:$E$604,$B19,Quotes!$G$5:$G$604,$C19,Quotes!$H$5:$H$604,$D19,Quotes!$J$5:$J$604,J$4,Quotes!$R$5:$R$604,"&lt;&gt;Unavailable")=0,"",_xlfn.MINIFS(Quotes!$M$5:$M$604,Quotes!$E$5:$E$604,$B19,Quotes!$G$5:$G$604,$C19,Quotes!$H$5:$H$604,$D19,Quotes!$J$5:$J$604,J$4,Quotes!$R$5:$R$604,"&lt;&gt;Unavailable"))</f>
        <v/>
      </c>
      <c r="K19" s="23" t="str">
        <f aca="false">IF(COUNTIFS(Quotes!$E$5:$E$604,$B19,Quotes!$G$5:$G$604,$C19,Quotes!$H$5:$H$604,$D19,Quotes!$J$5:$J$604,K$4,Quotes!$R$5:$R$604,"&lt;&gt;Unavailable")=0,"",_xlfn.MINIFS(Quotes!$M$5:$M$604,Quotes!$E$5:$E$604,$B19,Quotes!$G$5:$G$604,$C19,Quotes!$H$5:$H$604,$D19,Quotes!$J$5:$J$604,K$4,Quotes!$R$5:$R$604,"&lt;&gt;Unavailable"))</f>
        <v/>
      </c>
      <c r="L19" s="24" t="n">
        <f aca="false">IF(COUNT(E19:K19)=0,"",MIN(E19:K19))</f>
        <v>850.010604453871</v>
      </c>
      <c r="M19" s="25" t="str">
        <f aca="false">IF(L19="","",INDEX($E$4:$K$4,MATCH(L19,E19:K19,0)))</f>
        <v>Ottila</v>
      </c>
      <c r="N19" s="26" t="str">
        <f aca="false">IF(OR(K19="",COUNT(E19:J19)=0),"",K19-MIN(E19:J19))</f>
        <v/>
      </c>
    </row>
    <row r="20" customFormat="false" ht="23.85" hidden="false" customHeight="false" outlineLevel="0" collapsed="false">
      <c r="A20" s="22" t="s">
        <v>112</v>
      </c>
      <c r="B20" s="22" t="s">
        <v>119</v>
      </c>
      <c r="C20" s="22" t="s">
        <v>120</v>
      </c>
      <c r="D20" s="22" t="s">
        <v>117</v>
      </c>
      <c r="E20" s="23" t="n">
        <f aca="false">IF(COUNTIFS(Quotes!$E$5:$E$604,$B20,Quotes!$G$5:$G$604,$C20,Quotes!$H$5:$H$604,$D20,Quotes!$J$5:$J$604,E$4,Quotes!$R$5:$R$604,"&lt;&gt;Unavailable")=0,"",_xlfn.MINIFS(Quotes!$M$5:$M$604,Quotes!$E$5:$E$604,$B20,Quotes!$G$5:$G$604,$C20,Quotes!$H$5:$H$604,$D20,Quotes!$J$5:$J$604,E$4,Quotes!$R$5:$R$604,"&lt;&gt;Unavailable"))</f>
        <v>1820.65747613998</v>
      </c>
      <c r="F20" s="23" t="str">
        <f aca="false">IF(COUNTIFS(Quotes!$E$5:$E$604,$B20,Quotes!$G$5:$G$604,$C20,Quotes!$H$5:$H$604,$D20,Quotes!$J$5:$J$604,F$4,Quotes!$R$5:$R$604,"&lt;&gt;Unavailable")=0,"",_xlfn.MINIFS(Quotes!$M$5:$M$604,Quotes!$E$5:$E$604,$B20,Quotes!$G$5:$G$604,$C20,Quotes!$H$5:$H$604,$D20,Quotes!$J$5:$J$604,F$4,Quotes!$R$5:$R$604,"&lt;&gt;Unavailable"))</f>
        <v/>
      </c>
      <c r="G20" s="23" t="str">
        <f aca="false">IF(COUNTIFS(Quotes!$E$5:$E$604,$B20,Quotes!$G$5:$G$604,$C20,Quotes!$H$5:$H$604,$D20,Quotes!$J$5:$J$604,G$4,Quotes!$R$5:$R$604,"&lt;&gt;Unavailable")=0,"",_xlfn.MINIFS(Quotes!$M$5:$M$604,Quotes!$E$5:$E$604,$B20,Quotes!$G$5:$G$604,$C20,Quotes!$H$5:$H$604,$D20,Quotes!$J$5:$J$604,G$4,Quotes!$R$5:$R$604,"&lt;&gt;Unavailable"))</f>
        <v/>
      </c>
      <c r="H20" s="23" t="str">
        <f aca="false">IF(COUNTIFS(Quotes!$E$5:$E$604,$B20,Quotes!$G$5:$G$604,$C20,Quotes!$H$5:$H$604,$D20,Quotes!$J$5:$J$604,H$4,Quotes!$R$5:$R$604,"&lt;&gt;Unavailable")=0,"",_xlfn.MINIFS(Quotes!$M$5:$M$604,Quotes!$E$5:$E$604,$B20,Quotes!$G$5:$G$604,$C20,Quotes!$H$5:$H$604,$D20,Quotes!$J$5:$J$604,H$4,Quotes!$R$5:$R$604,"&lt;&gt;Unavailable"))</f>
        <v/>
      </c>
      <c r="I20" s="23" t="str">
        <f aca="false">IF(COUNTIFS(Quotes!$E$5:$E$604,$B20,Quotes!$G$5:$G$604,$C20,Quotes!$H$5:$H$604,$D20,Quotes!$J$5:$J$604,I$4,Quotes!$R$5:$R$604,"&lt;&gt;Unavailable")=0,"",_xlfn.MINIFS(Quotes!$M$5:$M$604,Quotes!$E$5:$E$604,$B20,Quotes!$G$5:$G$604,$C20,Quotes!$H$5:$H$604,$D20,Quotes!$J$5:$J$604,I$4,Quotes!$R$5:$R$604,"&lt;&gt;Unavailable"))</f>
        <v/>
      </c>
      <c r="J20" s="23" t="str">
        <f aca="false">IF(COUNTIFS(Quotes!$E$5:$E$604,$B20,Quotes!$G$5:$G$604,$C20,Quotes!$H$5:$H$604,$D20,Quotes!$J$5:$J$604,J$4,Quotes!$R$5:$R$604,"&lt;&gt;Unavailable")=0,"",_xlfn.MINIFS(Quotes!$M$5:$M$604,Quotes!$E$5:$E$604,$B20,Quotes!$G$5:$G$604,$C20,Quotes!$H$5:$H$604,$D20,Quotes!$J$5:$J$604,J$4,Quotes!$R$5:$R$604,"&lt;&gt;Unavailable"))</f>
        <v/>
      </c>
      <c r="K20" s="23" t="str">
        <f aca="false">IF(COUNTIFS(Quotes!$E$5:$E$604,$B20,Quotes!$G$5:$G$604,$C20,Quotes!$H$5:$H$604,$D20,Quotes!$J$5:$J$604,K$4,Quotes!$R$5:$R$604,"&lt;&gt;Unavailable")=0,"",_xlfn.MINIFS(Quotes!$M$5:$M$604,Quotes!$E$5:$E$604,$B20,Quotes!$G$5:$G$604,$C20,Quotes!$H$5:$H$604,$D20,Quotes!$J$5:$J$604,K$4,Quotes!$R$5:$R$604,"&lt;&gt;Unavailable"))</f>
        <v/>
      </c>
      <c r="L20" s="24" t="n">
        <f aca="false">IF(COUNT(E20:K20)=0,"",MIN(E20:K20))</f>
        <v>1820.65747613998</v>
      </c>
      <c r="M20" s="25" t="str">
        <f aca="false">IF(L20="","",INDEX($E$4:$K$4,MATCH(L20,E20:K20,0)))</f>
        <v>Ottila</v>
      </c>
      <c r="N20" s="26" t="str">
        <f aca="false">IF(OR(K20="",COUNT(E20:J20)=0),"",K20-MIN(E20:J20))</f>
        <v/>
      </c>
    </row>
    <row r="21" customFormat="false" ht="23.85" hidden="false" customHeight="false" outlineLevel="0" collapsed="false">
      <c r="A21" s="22" t="s">
        <v>112</v>
      </c>
      <c r="B21" s="22" t="s">
        <v>119</v>
      </c>
      <c r="C21" s="22" t="s">
        <v>120</v>
      </c>
      <c r="D21" s="22" t="s">
        <v>75</v>
      </c>
      <c r="E21" s="23" t="str">
        <f aca="false">IF(COUNTIFS(Quotes!$E$5:$E$604,$B21,Quotes!$G$5:$G$604,$C21,Quotes!$H$5:$H$604,$D21,Quotes!$J$5:$J$604,E$4,Quotes!$R$5:$R$604,"&lt;&gt;Unavailable")=0,"",_xlfn.MINIFS(Quotes!$M$5:$M$604,Quotes!$E$5:$E$604,$B21,Quotes!$G$5:$G$604,$C21,Quotes!$H$5:$H$604,$D21,Quotes!$J$5:$J$604,E$4,Quotes!$R$5:$R$604,"&lt;&gt;Unavailable"))</f>
        <v/>
      </c>
      <c r="F21" s="23" t="str">
        <f aca="false">IF(COUNTIFS(Quotes!$E$5:$E$604,$B21,Quotes!$G$5:$G$604,$C21,Quotes!$H$5:$H$604,$D21,Quotes!$J$5:$J$604,F$4,Quotes!$R$5:$R$604,"&lt;&gt;Unavailable")=0,"",_xlfn.MINIFS(Quotes!$M$5:$M$604,Quotes!$E$5:$E$604,$B21,Quotes!$G$5:$G$604,$C21,Quotes!$H$5:$H$604,$D21,Quotes!$J$5:$J$604,F$4,Quotes!$R$5:$R$604,"&lt;&gt;Unavailable"))</f>
        <v/>
      </c>
      <c r="G21" s="23" t="str">
        <f aca="false">IF(COUNTIFS(Quotes!$E$5:$E$604,$B21,Quotes!$G$5:$G$604,$C21,Quotes!$H$5:$H$604,$D21,Quotes!$J$5:$J$604,G$4,Quotes!$R$5:$R$604,"&lt;&gt;Unavailable")=0,"",_xlfn.MINIFS(Quotes!$M$5:$M$604,Quotes!$E$5:$E$604,$B21,Quotes!$G$5:$G$604,$C21,Quotes!$H$5:$H$604,$D21,Quotes!$J$5:$J$604,G$4,Quotes!$R$5:$R$604,"&lt;&gt;Unavailable"))</f>
        <v/>
      </c>
      <c r="H21" s="23" t="str">
        <f aca="false">IF(COUNTIFS(Quotes!$E$5:$E$604,$B21,Quotes!$G$5:$G$604,$C21,Quotes!$H$5:$H$604,$D21,Quotes!$J$5:$J$604,H$4,Quotes!$R$5:$R$604,"&lt;&gt;Unavailable")=0,"",_xlfn.MINIFS(Quotes!$M$5:$M$604,Quotes!$E$5:$E$604,$B21,Quotes!$G$5:$G$604,$C21,Quotes!$H$5:$H$604,$D21,Quotes!$J$5:$J$604,H$4,Quotes!$R$5:$R$604,"&lt;&gt;Unavailable"))</f>
        <v/>
      </c>
      <c r="I21" s="23" t="str">
        <f aca="false">IF(COUNTIFS(Quotes!$E$5:$E$604,$B21,Quotes!$G$5:$G$604,$C21,Quotes!$H$5:$H$604,$D21,Quotes!$J$5:$J$604,I$4,Quotes!$R$5:$R$604,"&lt;&gt;Unavailable")=0,"",_xlfn.MINIFS(Quotes!$M$5:$M$604,Quotes!$E$5:$E$604,$B21,Quotes!$G$5:$G$604,$C21,Quotes!$H$5:$H$604,$D21,Quotes!$J$5:$J$604,I$4,Quotes!$R$5:$R$604,"&lt;&gt;Unavailable"))</f>
        <v/>
      </c>
      <c r="J21" s="23" t="str">
        <f aca="false">IF(COUNTIFS(Quotes!$E$5:$E$604,$B21,Quotes!$G$5:$G$604,$C21,Quotes!$H$5:$H$604,$D21,Quotes!$J$5:$J$604,J$4,Quotes!$R$5:$R$604,"&lt;&gt;Unavailable")=0,"",_xlfn.MINIFS(Quotes!$M$5:$M$604,Quotes!$E$5:$E$604,$B21,Quotes!$G$5:$G$604,$C21,Quotes!$H$5:$H$604,$D21,Quotes!$J$5:$J$604,J$4,Quotes!$R$5:$R$604,"&lt;&gt;Unavailable"))</f>
        <v/>
      </c>
      <c r="K21" s="23" t="n">
        <f aca="false">IF(COUNTIFS(Quotes!$E$5:$E$604,$B21,Quotes!$G$5:$G$604,$C21,Quotes!$H$5:$H$604,$D21,Quotes!$J$5:$J$604,K$4,Quotes!$R$5:$R$604,"&lt;&gt;Unavailable")=0,"",_xlfn.MINIFS(Quotes!$M$5:$M$604,Quotes!$E$5:$E$604,$B21,Quotes!$G$5:$G$604,$C21,Quotes!$H$5:$H$604,$D21,Quotes!$J$5:$J$604,K$4,Quotes!$R$5:$R$604,"&lt;&gt;Unavailable"))</f>
        <v>1307.07317073171</v>
      </c>
      <c r="L21" s="24" t="n">
        <f aca="false">IF(COUNT(E21:K21)=0,"",MIN(E21:K21))</f>
        <v>1307.07317073171</v>
      </c>
      <c r="M21" s="25" t="str">
        <f aca="false">IF(L21="","",INDEX($E$4:$K$4,MATCH(L21,E21:K21,0)))</f>
        <v>Booking.com</v>
      </c>
      <c r="N21" s="26" t="str">
        <f aca="false">IF(OR(K21="",COUNT(E21:J21)=0),"",K21-MIN(E21:J21))</f>
        <v/>
      </c>
    </row>
    <row r="22" customFormat="false" ht="15" hidden="false" customHeight="false" outlineLevel="0" collapsed="false">
      <c r="A22" s="22" t="s">
        <v>112</v>
      </c>
      <c r="B22" s="22" t="s">
        <v>122</v>
      </c>
      <c r="C22" s="22" t="s">
        <v>123</v>
      </c>
      <c r="D22" s="22" t="s">
        <v>75</v>
      </c>
      <c r="E22" s="23" t="n">
        <f aca="false">IF(COUNTIFS(Quotes!$E$5:$E$604,$B22,Quotes!$G$5:$G$604,$C22,Quotes!$H$5:$H$604,$D22,Quotes!$J$5:$J$604,E$4,Quotes!$R$5:$R$604,"&lt;&gt;Unavailable")=0,"",_xlfn.MINIFS(Quotes!$M$5:$M$604,Quotes!$E$5:$E$604,$B22,Quotes!$G$5:$G$604,$C22,Quotes!$H$5:$H$604,$D22,Quotes!$J$5:$J$604,E$4,Quotes!$R$5:$R$604,"&lt;&gt;Unavailable"))</f>
        <v>427.338282078473</v>
      </c>
      <c r="F22" s="23" t="str">
        <f aca="false">IF(COUNTIFS(Quotes!$E$5:$E$604,$B22,Quotes!$G$5:$G$604,$C22,Quotes!$H$5:$H$604,$D22,Quotes!$J$5:$J$604,F$4,Quotes!$R$5:$R$604,"&lt;&gt;Unavailable")=0,"",_xlfn.MINIFS(Quotes!$M$5:$M$604,Quotes!$E$5:$E$604,$B22,Quotes!$G$5:$G$604,$C22,Quotes!$H$5:$H$604,$D22,Quotes!$J$5:$J$604,F$4,Quotes!$R$5:$R$604,"&lt;&gt;Unavailable"))</f>
        <v/>
      </c>
      <c r="G22" s="23" t="str">
        <f aca="false">IF(COUNTIFS(Quotes!$E$5:$E$604,$B22,Quotes!$G$5:$G$604,$C22,Quotes!$H$5:$H$604,$D22,Quotes!$J$5:$J$604,G$4,Quotes!$R$5:$R$604,"&lt;&gt;Unavailable")=0,"",_xlfn.MINIFS(Quotes!$M$5:$M$604,Quotes!$E$5:$E$604,$B22,Quotes!$G$5:$G$604,$C22,Quotes!$H$5:$H$604,$D22,Quotes!$J$5:$J$604,G$4,Quotes!$R$5:$R$604,"&lt;&gt;Unavailable"))</f>
        <v/>
      </c>
      <c r="H22" s="23" t="str">
        <f aca="false">IF(COUNTIFS(Quotes!$E$5:$E$604,$B22,Quotes!$G$5:$G$604,$C22,Quotes!$H$5:$H$604,$D22,Quotes!$J$5:$J$604,H$4,Quotes!$R$5:$R$604,"&lt;&gt;Unavailable")=0,"",_xlfn.MINIFS(Quotes!$M$5:$M$604,Quotes!$E$5:$E$604,$B22,Quotes!$G$5:$G$604,$C22,Quotes!$H$5:$H$604,$D22,Quotes!$J$5:$J$604,H$4,Quotes!$R$5:$R$604,"&lt;&gt;Unavailable"))</f>
        <v/>
      </c>
      <c r="I22" s="23" t="str">
        <f aca="false">IF(COUNTIFS(Quotes!$E$5:$E$604,$B22,Quotes!$G$5:$G$604,$C22,Quotes!$H$5:$H$604,$D22,Quotes!$J$5:$J$604,I$4,Quotes!$R$5:$R$604,"&lt;&gt;Unavailable")=0,"",_xlfn.MINIFS(Quotes!$M$5:$M$604,Quotes!$E$5:$E$604,$B22,Quotes!$G$5:$G$604,$C22,Quotes!$H$5:$H$604,$D22,Quotes!$J$5:$J$604,I$4,Quotes!$R$5:$R$604,"&lt;&gt;Unavailable"))</f>
        <v/>
      </c>
      <c r="J22" s="23" t="str">
        <f aca="false">IF(COUNTIFS(Quotes!$E$5:$E$604,$B22,Quotes!$G$5:$G$604,$C22,Quotes!$H$5:$H$604,$D22,Quotes!$J$5:$J$604,J$4,Quotes!$R$5:$R$604,"&lt;&gt;Unavailable")=0,"",_xlfn.MINIFS(Quotes!$M$5:$M$604,Quotes!$E$5:$E$604,$B22,Quotes!$G$5:$G$604,$C22,Quotes!$H$5:$H$604,$D22,Quotes!$J$5:$J$604,J$4,Quotes!$R$5:$R$604,"&lt;&gt;Unavailable"))</f>
        <v/>
      </c>
      <c r="K22" s="23" t="str">
        <f aca="false">IF(COUNTIFS(Quotes!$E$5:$E$604,$B22,Quotes!$G$5:$G$604,$C22,Quotes!$H$5:$H$604,$D22,Quotes!$J$5:$J$604,K$4,Quotes!$R$5:$R$604,"&lt;&gt;Unavailable")=0,"",_xlfn.MINIFS(Quotes!$M$5:$M$604,Quotes!$E$5:$E$604,$B22,Quotes!$G$5:$G$604,$C22,Quotes!$H$5:$H$604,$D22,Quotes!$J$5:$J$604,K$4,Quotes!$R$5:$R$604,"&lt;&gt;Unavailable"))</f>
        <v/>
      </c>
      <c r="L22" s="24" t="n">
        <f aca="false">IF(COUNT(E22:K22)=0,"",MIN(E22:K22))</f>
        <v>427.338282078473</v>
      </c>
      <c r="M22" s="25" t="str">
        <f aca="false">IF(L22="","",INDEX($E$4:$K$4,MATCH(L22,E22:K22,0)))</f>
        <v>Ottila</v>
      </c>
      <c r="N22" s="26" t="str">
        <f aca="false">IF(OR(K22="",COUNT(E22:J22)=0),"",K22-MIN(E22:J22))</f>
        <v/>
      </c>
    </row>
    <row r="23" customFormat="false" ht="15" hidden="false" customHeight="false" outlineLevel="0" collapsed="false">
      <c r="A23" s="22" t="s">
        <v>112</v>
      </c>
      <c r="B23" s="22" t="s">
        <v>122</v>
      </c>
      <c r="C23" s="22" t="s">
        <v>123</v>
      </c>
      <c r="D23" s="22" t="s">
        <v>104</v>
      </c>
      <c r="E23" s="23" t="n">
        <f aca="false">IF(COUNTIFS(Quotes!$E$5:$E$604,$B23,Quotes!$G$5:$G$604,$C23,Quotes!$H$5:$H$604,$D23,Quotes!$J$5:$J$604,E$4,Quotes!$R$5:$R$604,"&lt;&gt;Unavailable")=0,"",_xlfn.MINIFS(Quotes!$M$5:$M$604,Quotes!$E$5:$E$604,$B23,Quotes!$G$5:$G$604,$C23,Quotes!$H$5:$H$604,$D23,Quotes!$J$5:$J$604,E$4,Quotes!$R$5:$R$604,"&lt;&gt;Unavailable"))</f>
        <v>350.699893955461</v>
      </c>
      <c r="F23" s="23" t="str">
        <f aca="false">IF(COUNTIFS(Quotes!$E$5:$E$604,$B23,Quotes!$G$5:$G$604,$C23,Quotes!$H$5:$H$604,$D23,Quotes!$J$5:$J$604,F$4,Quotes!$R$5:$R$604,"&lt;&gt;Unavailable")=0,"",_xlfn.MINIFS(Quotes!$M$5:$M$604,Quotes!$E$5:$E$604,$B23,Quotes!$G$5:$G$604,$C23,Quotes!$H$5:$H$604,$D23,Quotes!$J$5:$J$604,F$4,Quotes!$R$5:$R$604,"&lt;&gt;Unavailable"))</f>
        <v/>
      </c>
      <c r="G23" s="23" t="str">
        <f aca="false">IF(COUNTIFS(Quotes!$E$5:$E$604,$B23,Quotes!$G$5:$G$604,$C23,Quotes!$H$5:$H$604,$D23,Quotes!$J$5:$J$604,G$4,Quotes!$R$5:$R$604,"&lt;&gt;Unavailable")=0,"",_xlfn.MINIFS(Quotes!$M$5:$M$604,Quotes!$E$5:$E$604,$B23,Quotes!$G$5:$G$604,$C23,Quotes!$H$5:$H$604,$D23,Quotes!$J$5:$J$604,G$4,Quotes!$R$5:$R$604,"&lt;&gt;Unavailable"))</f>
        <v/>
      </c>
      <c r="H23" s="23" t="str">
        <f aca="false">IF(COUNTIFS(Quotes!$E$5:$E$604,$B23,Quotes!$G$5:$G$604,$C23,Quotes!$H$5:$H$604,$D23,Quotes!$J$5:$J$604,H$4,Quotes!$R$5:$R$604,"&lt;&gt;Unavailable")=0,"",_xlfn.MINIFS(Quotes!$M$5:$M$604,Quotes!$E$5:$E$604,$B23,Quotes!$G$5:$G$604,$C23,Quotes!$H$5:$H$604,$D23,Quotes!$J$5:$J$604,H$4,Quotes!$R$5:$R$604,"&lt;&gt;Unavailable"))</f>
        <v/>
      </c>
      <c r="I23" s="23" t="str">
        <f aca="false">IF(COUNTIFS(Quotes!$E$5:$E$604,$B23,Quotes!$G$5:$G$604,$C23,Quotes!$H$5:$H$604,$D23,Quotes!$J$5:$J$604,I$4,Quotes!$R$5:$R$604,"&lt;&gt;Unavailable")=0,"",_xlfn.MINIFS(Quotes!$M$5:$M$604,Quotes!$E$5:$E$604,$B23,Quotes!$G$5:$G$604,$C23,Quotes!$H$5:$H$604,$D23,Quotes!$J$5:$J$604,I$4,Quotes!$R$5:$R$604,"&lt;&gt;Unavailable"))</f>
        <v/>
      </c>
      <c r="J23" s="23" t="str">
        <f aca="false">IF(COUNTIFS(Quotes!$E$5:$E$604,$B23,Quotes!$G$5:$G$604,$C23,Quotes!$H$5:$H$604,$D23,Quotes!$J$5:$J$604,J$4,Quotes!$R$5:$R$604,"&lt;&gt;Unavailable")=0,"",_xlfn.MINIFS(Quotes!$M$5:$M$604,Quotes!$E$5:$E$604,$B23,Quotes!$G$5:$G$604,$C23,Quotes!$H$5:$H$604,$D23,Quotes!$J$5:$J$604,J$4,Quotes!$R$5:$R$604,"&lt;&gt;Unavailable"))</f>
        <v/>
      </c>
      <c r="K23" s="23" t="n">
        <f aca="false">IF(COUNTIFS(Quotes!$E$5:$E$604,$B23,Quotes!$G$5:$G$604,$C23,Quotes!$H$5:$H$604,$D23,Quotes!$J$5:$J$604,K$4,Quotes!$R$5:$R$604,"&lt;&gt;Unavailable")=0,"",_xlfn.MINIFS(Quotes!$M$5:$M$604,Quotes!$E$5:$E$604,$B23,Quotes!$G$5:$G$604,$C23,Quotes!$H$5:$H$604,$D23,Quotes!$J$5:$J$604,K$4,Quotes!$R$5:$R$604,"&lt;&gt;Unavailable"))</f>
        <v>368.801696712619</v>
      </c>
      <c r="L23" s="24" t="n">
        <f aca="false">IF(COUNT(E23:K23)=0,"",MIN(E23:K23))</f>
        <v>350.699893955461</v>
      </c>
      <c r="M23" s="25" t="str">
        <f aca="false">IF(L23="","",INDEX($E$4:$K$4,MATCH(L23,E23:K23,0)))</f>
        <v>Ottila</v>
      </c>
      <c r="N23" s="26" t="n">
        <f aca="false">IF(OR(K23="",COUNT(E23:J23)=0),"",K23-MIN(E23:J23))</f>
        <v>18.1018027571581</v>
      </c>
    </row>
    <row r="24" customFormat="false" ht="15" hidden="false" customHeight="false" outlineLevel="0" collapsed="false">
      <c r="A24" s="22" t="s">
        <v>112</v>
      </c>
      <c r="B24" s="22" t="s">
        <v>122</v>
      </c>
      <c r="C24" s="22" t="s">
        <v>126</v>
      </c>
      <c r="D24" s="22" t="s">
        <v>104</v>
      </c>
      <c r="E24" s="23" t="n">
        <f aca="false">IF(COUNTIFS(Quotes!$E$5:$E$604,$B24,Quotes!$G$5:$G$604,$C24,Quotes!$H$5:$H$604,$D24,Quotes!$J$5:$J$604,E$4,Quotes!$R$5:$R$604,"&lt;&gt;Unavailable")=0,"",_xlfn.MINIFS(Quotes!$M$5:$M$604,Quotes!$E$5:$E$604,$B24,Quotes!$G$5:$G$604,$C24,Quotes!$H$5:$H$604,$D24,Quotes!$J$5:$J$604,E$4,Quotes!$R$5:$R$604,"&lt;&gt;Unavailable"))</f>
        <v>365.641569459173</v>
      </c>
      <c r="F24" s="23" t="str">
        <f aca="false">IF(COUNTIFS(Quotes!$E$5:$E$604,$B24,Quotes!$G$5:$G$604,$C24,Quotes!$H$5:$H$604,$D24,Quotes!$J$5:$J$604,F$4,Quotes!$R$5:$R$604,"&lt;&gt;Unavailable")=0,"",_xlfn.MINIFS(Quotes!$M$5:$M$604,Quotes!$E$5:$E$604,$B24,Quotes!$G$5:$G$604,$C24,Quotes!$H$5:$H$604,$D24,Quotes!$J$5:$J$604,F$4,Quotes!$R$5:$R$604,"&lt;&gt;Unavailable"))</f>
        <v/>
      </c>
      <c r="G24" s="23" t="str">
        <f aca="false">IF(COUNTIFS(Quotes!$E$5:$E$604,$B24,Quotes!$G$5:$G$604,$C24,Quotes!$H$5:$H$604,$D24,Quotes!$J$5:$J$604,G$4,Quotes!$R$5:$R$604,"&lt;&gt;Unavailable")=0,"",_xlfn.MINIFS(Quotes!$M$5:$M$604,Quotes!$E$5:$E$604,$B24,Quotes!$G$5:$G$604,$C24,Quotes!$H$5:$H$604,$D24,Quotes!$J$5:$J$604,G$4,Quotes!$R$5:$R$604,"&lt;&gt;Unavailable"))</f>
        <v/>
      </c>
      <c r="H24" s="23" t="str">
        <f aca="false">IF(COUNTIFS(Quotes!$E$5:$E$604,$B24,Quotes!$G$5:$G$604,$C24,Quotes!$H$5:$H$604,$D24,Quotes!$J$5:$J$604,H$4,Quotes!$R$5:$R$604,"&lt;&gt;Unavailable")=0,"",_xlfn.MINIFS(Quotes!$M$5:$M$604,Quotes!$E$5:$E$604,$B24,Quotes!$G$5:$G$604,$C24,Quotes!$H$5:$H$604,$D24,Quotes!$J$5:$J$604,H$4,Quotes!$R$5:$R$604,"&lt;&gt;Unavailable"))</f>
        <v/>
      </c>
      <c r="I24" s="23" t="str">
        <f aca="false">IF(COUNTIFS(Quotes!$E$5:$E$604,$B24,Quotes!$G$5:$G$604,$C24,Quotes!$H$5:$H$604,$D24,Quotes!$J$5:$J$604,I$4,Quotes!$R$5:$R$604,"&lt;&gt;Unavailable")=0,"",_xlfn.MINIFS(Quotes!$M$5:$M$604,Quotes!$E$5:$E$604,$B24,Quotes!$G$5:$G$604,$C24,Quotes!$H$5:$H$604,$D24,Quotes!$J$5:$J$604,I$4,Quotes!$R$5:$R$604,"&lt;&gt;Unavailable"))</f>
        <v/>
      </c>
      <c r="J24" s="23" t="str">
        <f aca="false">IF(COUNTIFS(Quotes!$E$5:$E$604,$B24,Quotes!$G$5:$G$604,$C24,Quotes!$H$5:$H$604,$D24,Quotes!$J$5:$J$604,J$4,Quotes!$R$5:$R$604,"&lt;&gt;Unavailable")=0,"",_xlfn.MINIFS(Quotes!$M$5:$M$604,Quotes!$E$5:$E$604,$B24,Quotes!$G$5:$G$604,$C24,Quotes!$H$5:$H$604,$D24,Quotes!$J$5:$J$604,J$4,Quotes!$R$5:$R$604,"&lt;&gt;Unavailable"))</f>
        <v/>
      </c>
      <c r="K24" s="23" t="str">
        <f aca="false">IF(COUNTIFS(Quotes!$E$5:$E$604,$B24,Quotes!$G$5:$G$604,$C24,Quotes!$H$5:$H$604,$D24,Quotes!$J$5:$J$604,K$4,Quotes!$R$5:$R$604,"&lt;&gt;Unavailable")=0,"",_xlfn.MINIFS(Quotes!$M$5:$M$604,Quotes!$E$5:$E$604,$B24,Quotes!$G$5:$G$604,$C24,Quotes!$H$5:$H$604,$D24,Quotes!$J$5:$J$604,K$4,Quotes!$R$5:$R$604,"&lt;&gt;Unavailable"))</f>
        <v/>
      </c>
      <c r="L24" s="24" t="n">
        <f aca="false">IF(COUNT(E24:K24)=0,"",MIN(E24:K24))</f>
        <v>365.641569459173</v>
      </c>
      <c r="M24" s="25" t="str">
        <f aca="false">IF(L24="","",INDEX($E$4:$K$4,MATCH(L24,E24:K24,0)))</f>
        <v>Ottila</v>
      </c>
      <c r="N24" s="26" t="str">
        <f aca="false">IF(OR(K24="",COUNT(E24:J24)=0),"",K24-MIN(E24:J24))</f>
        <v/>
      </c>
    </row>
    <row r="25" customFormat="false" ht="15" hidden="false" customHeight="false" outlineLevel="0" collapsed="false">
      <c r="A25" s="22" t="s">
        <v>112</v>
      </c>
      <c r="B25" s="22" t="s">
        <v>129</v>
      </c>
      <c r="C25" s="22" t="s">
        <v>130</v>
      </c>
      <c r="D25" s="22" t="s">
        <v>104</v>
      </c>
      <c r="E25" s="23" t="str">
        <f aca="false">IF(COUNTIFS(Quotes!$E$5:$E$604,$B25,Quotes!$G$5:$G$604,$C25,Quotes!$H$5:$H$604,$D25,Quotes!$J$5:$J$604,E$4,Quotes!$R$5:$R$604,"&lt;&gt;Unavailable")=0,"",_xlfn.MINIFS(Quotes!$M$5:$M$604,Quotes!$E$5:$E$604,$B25,Quotes!$G$5:$G$604,$C25,Quotes!$H$5:$H$604,$D25,Quotes!$J$5:$J$604,E$4,Quotes!$R$5:$R$604,"&lt;&gt;Unavailable"))</f>
        <v/>
      </c>
      <c r="F25" s="23" t="str">
        <f aca="false">IF(COUNTIFS(Quotes!$E$5:$E$604,$B25,Quotes!$G$5:$G$604,$C25,Quotes!$H$5:$H$604,$D25,Quotes!$J$5:$J$604,F$4,Quotes!$R$5:$R$604,"&lt;&gt;Unavailable")=0,"",_xlfn.MINIFS(Quotes!$M$5:$M$604,Quotes!$E$5:$E$604,$B25,Quotes!$G$5:$G$604,$C25,Quotes!$H$5:$H$604,$D25,Quotes!$J$5:$J$604,F$4,Quotes!$R$5:$R$604,"&lt;&gt;Unavailable"))</f>
        <v/>
      </c>
      <c r="G25" s="23" t="str">
        <f aca="false">IF(COUNTIFS(Quotes!$E$5:$E$604,$B25,Quotes!$G$5:$G$604,$C25,Quotes!$H$5:$H$604,$D25,Quotes!$J$5:$J$604,G$4,Quotes!$R$5:$R$604,"&lt;&gt;Unavailable")=0,"",_xlfn.MINIFS(Quotes!$M$5:$M$604,Quotes!$E$5:$E$604,$B25,Quotes!$G$5:$G$604,$C25,Quotes!$H$5:$H$604,$D25,Quotes!$J$5:$J$604,G$4,Quotes!$R$5:$R$604,"&lt;&gt;Unavailable"))</f>
        <v/>
      </c>
      <c r="H25" s="23" t="str">
        <f aca="false">IF(COUNTIFS(Quotes!$E$5:$E$604,$B25,Quotes!$G$5:$G$604,$C25,Quotes!$H$5:$H$604,$D25,Quotes!$J$5:$J$604,H$4,Quotes!$R$5:$R$604,"&lt;&gt;Unavailable")=0,"",_xlfn.MINIFS(Quotes!$M$5:$M$604,Quotes!$E$5:$E$604,$B25,Quotes!$G$5:$G$604,$C25,Quotes!$H$5:$H$604,$D25,Quotes!$J$5:$J$604,H$4,Quotes!$R$5:$R$604,"&lt;&gt;Unavailable"))</f>
        <v/>
      </c>
      <c r="I25" s="23" t="n">
        <f aca="false">IF(COUNTIFS(Quotes!$E$5:$E$604,$B25,Quotes!$G$5:$G$604,$C25,Quotes!$H$5:$H$604,$D25,Quotes!$J$5:$J$604,I$4,Quotes!$R$5:$R$604,"&lt;&gt;Unavailable")=0,"",_xlfn.MINIFS(Quotes!$M$5:$M$604,Quotes!$E$5:$E$604,$B25,Quotes!$G$5:$G$604,$C25,Quotes!$H$5:$H$604,$D25,Quotes!$J$5:$J$604,I$4,Quotes!$R$5:$R$604,"&lt;&gt;Unavailable"))</f>
        <v>315</v>
      </c>
      <c r="J25" s="23" t="str">
        <f aca="false">IF(COUNTIFS(Quotes!$E$5:$E$604,$B25,Quotes!$G$5:$G$604,$C25,Quotes!$H$5:$H$604,$D25,Quotes!$J$5:$J$604,J$4,Quotes!$R$5:$R$604,"&lt;&gt;Unavailable")=0,"",_xlfn.MINIFS(Quotes!$M$5:$M$604,Quotes!$E$5:$E$604,$B25,Quotes!$G$5:$G$604,$C25,Quotes!$H$5:$H$604,$D25,Quotes!$J$5:$J$604,J$4,Quotes!$R$5:$R$604,"&lt;&gt;Unavailable"))</f>
        <v/>
      </c>
      <c r="K25" s="23" t="str">
        <f aca="false">IF(COUNTIFS(Quotes!$E$5:$E$604,$B25,Quotes!$G$5:$G$604,$C25,Quotes!$H$5:$H$604,$D25,Quotes!$J$5:$J$604,K$4,Quotes!$R$5:$R$604,"&lt;&gt;Unavailable")=0,"",_xlfn.MINIFS(Quotes!$M$5:$M$604,Quotes!$E$5:$E$604,$B25,Quotes!$G$5:$G$604,$C25,Quotes!$H$5:$H$604,$D25,Quotes!$J$5:$J$604,K$4,Quotes!$R$5:$R$604,"&lt;&gt;Unavailable"))</f>
        <v/>
      </c>
      <c r="L25" s="24" t="n">
        <f aca="false">IF(COUNT(E25:K25)=0,"",MIN(E25:K25))</f>
        <v>315</v>
      </c>
      <c r="M25" s="25" t="str">
        <f aca="false">IF(L25="","",INDEX($E$4:$K$4,MATCH(L25,E25:K25,0)))</f>
        <v>Direct</v>
      </c>
      <c r="N25" s="26" t="str">
        <f aca="false">IF(OR(K25="",COUNT(E25:J25)=0),"",K25-MIN(E25:J25))</f>
        <v/>
      </c>
    </row>
    <row r="26" customFormat="false" ht="15" hidden="false" customHeight="false" outlineLevel="0" collapsed="false">
      <c r="A26" s="22" t="s">
        <v>112</v>
      </c>
      <c r="B26" s="22" t="s">
        <v>129</v>
      </c>
      <c r="C26" s="22" t="s">
        <v>131</v>
      </c>
      <c r="D26" s="22" t="s">
        <v>104</v>
      </c>
      <c r="E26" s="23" t="str">
        <f aca="false">IF(COUNTIFS(Quotes!$E$5:$E$604,$B26,Quotes!$G$5:$G$604,$C26,Quotes!$H$5:$H$604,$D26,Quotes!$J$5:$J$604,E$4,Quotes!$R$5:$R$604,"&lt;&gt;Unavailable")=0,"",_xlfn.MINIFS(Quotes!$M$5:$M$604,Quotes!$E$5:$E$604,$B26,Quotes!$G$5:$G$604,$C26,Quotes!$H$5:$H$604,$D26,Quotes!$J$5:$J$604,E$4,Quotes!$R$5:$R$604,"&lt;&gt;Unavailable"))</f>
        <v/>
      </c>
      <c r="F26" s="23" t="str">
        <f aca="false">IF(COUNTIFS(Quotes!$E$5:$E$604,$B26,Quotes!$G$5:$G$604,$C26,Quotes!$H$5:$H$604,$D26,Quotes!$J$5:$J$604,F$4,Quotes!$R$5:$R$604,"&lt;&gt;Unavailable")=0,"",_xlfn.MINIFS(Quotes!$M$5:$M$604,Quotes!$E$5:$E$604,$B26,Quotes!$G$5:$G$604,$C26,Quotes!$H$5:$H$604,$D26,Quotes!$J$5:$J$604,F$4,Quotes!$R$5:$R$604,"&lt;&gt;Unavailable"))</f>
        <v/>
      </c>
      <c r="G26" s="23" t="str">
        <f aca="false">IF(COUNTIFS(Quotes!$E$5:$E$604,$B26,Quotes!$G$5:$G$604,$C26,Quotes!$H$5:$H$604,$D26,Quotes!$J$5:$J$604,G$4,Quotes!$R$5:$R$604,"&lt;&gt;Unavailable")=0,"",_xlfn.MINIFS(Quotes!$M$5:$M$604,Quotes!$E$5:$E$604,$B26,Quotes!$G$5:$G$604,$C26,Quotes!$H$5:$H$604,$D26,Quotes!$J$5:$J$604,G$4,Quotes!$R$5:$R$604,"&lt;&gt;Unavailable"))</f>
        <v/>
      </c>
      <c r="H26" s="23" t="str">
        <f aca="false">IF(COUNTIFS(Quotes!$E$5:$E$604,$B26,Quotes!$G$5:$G$604,$C26,Quotes!$H$5:$H$604,$D26,Quotes!$J$5:$J$604,H$4,Quotes!$R$5:$R$604,"&lt;&gt;Unavailable")=0,"",_xlfn.MINIFS(Quotes!$M$5:$M$604,Quotes!$E$5:$E$604,$B26,Quotes!$G$5:$G$604,$C26,Quotes!$H$5:$H$604,$D26,Quotes!$J$5:$J$604,H$4,Quotes!$R$5:$R$604,"&lt;&gt;Unavailable"))</f>
        <v/>
      </c>
      <c r="I26" s="23" t="n">
        <f aca="false">IF(COUNTIFS(Quotes!$E$5:$E$604,$B26,Quotes!$G$5:$G$604,$C26,Quotes!$H$5:$H$604,$D26,Quotes!$J$5:$J$604,I$4,Quotes!$R$5:$R$604,"&lt;&gt;Unavailable")=0,"",_xlfn.MINIFS(Quotes!$M$5:$M$604,Quotes!$E$5:$E$604,$B26,Quotes!$G$5:$G$604,$C26,Quotes!$H$5:$H$604,$D26,Quotes!$J$5:$J$604,I$4,Quotes!$R$5:$R$604,"&lt;&gt;Unavailable"))</f>
        <v>265</v>
      </c>
      <c r="J26" s="23" t="str">
        <f aca="false">IF(COUNTIFS(Quotes!$E$5:$E$604,$B26,Quotes!$G$5:$G$604,$C26,Quotes!$H$5:$H$604,$D26,Quotes!$J$5:$J$604,J$4,Quotes!$R$5:$R$604,"&lt;&gt;Unavailable")=0,"",_xlfn.MINIFS(Quotes!$M$5:$M$604,Quotes!$E$5:$E$604,$B26,Quotes!$G$5:$G$604,$C26,Quotes!$H$5:$H$604,$D26,Quotes!$J$5:$J$604,J$4,Quotes!$R$5:$R$604,"&lt;&gt;Unavailable"))</f>
        <v/>
      </c>
      <c r="K26" s="23" t="str">
        <f aca="false">IF(COUNTIFS(Quotes!$E$5:$E$604,$B26,Quotes!$G$5:$G$604,$C26,Quotes!$H$5:$H$604,$D26,Quotes!$J$5:$J$604,K$4,Quotes!$R$5:$R$604,"&lt;&gt;Unavailable")=0,"",_xlfn.MINIFS(Quotes!$M$5:$M$604,Quotes!$E$5:$E$604,$B26,Quotes!$G$5:$G$604,$C26,Quotes!$H$5:$H$604,$D26,Quotes!$J$5:$J$604,K$4,Quotes!$R$5:$R$604,"&lt;&gt;Unavailable"))</f>
        <v/>
      </c>
      <c r="L26" s="24" t="n">
        <f aca="false">IF(COUNT(E26:K26)=0,"",MIN(E26:K26))</f>
        <v>265</v>
      </c>
      <c r="M26" s="25" t="str">
        <f aca="false">IF(L26="","",INDEX($E$4:$K$4,MATCH(L26,E26:K26,0)))</f>
        <v>Direct</v>
      </c>
      <c r="N26" s="26" t="str">
        <f aca="false">IF(OR(K26="",COUNT(E26:J26)=0),"",K26-MIN(E26:J26))</f>
        <v/>
      </c>
    </row>
    <row r="27" customFormat="false" ht="15" hidden="false" customHeight="false" outlineLevel="0" collapsed="false">
      <c r="A27" s="22" t="s">
        <v>112</v>
      </c>
      <c r="B27" s="22" t="s">
        <v>129</v>
      </c>
      <c r="C27" s="22" t="s">
        <v>123</v>
      </c>
      <c r="D27" s="22" t="s">
        <v>104</v>
      </c>
      <c r="E27" s="23" t="str">
        <f aca="false">IF(COUNTIFS(Quotes!$E$5:$E$604,$B27,Quotes!$G$5:$G$604,$C27,Quotes!$H$5:$H$604,$D27,Quotes!$J$5:$J$604,E$4,Quotes!$R$5:$R$604,"&lt;&gt;Unavailable")=0,"",_xlfn.MINIFS(Quotes!$M$5:$M$604,Quotes!$E$5:$E$604,$B27,Quotes!$G$5:$G$604,$C27,Quotes!$H$5:$H$604,$D27,Quotes!$J$5:$J$604,E$4,Quotes!$R$5:$R$604,"&lt;&gt;Unavailable"))</f>
        <v/>
      </c>
      <c r="F27" s="23" t="str">
        <f aca="false">IF(COUNTIFS(Quotes!$E$5:$E$604,$B27,Quotes!$G$5:$G$604,$C27,Quotes!$H$5:$H$604,$D27,Quotes!$J$5:$J$604,F$4,Quotes!$R$5:$R$604,"&lt;&gt;Unavailable")=0,"",_xlfn.MINIFS(Quotes!$M$5:$M$604,Quotes!$E$5:$E$604,$B27,Quotes!$G$5:$G$604,$C27,Quotes!$H$5:$H$604,$D27,Quotes!$J$5:$J$604,F$4,Quotes!$R$5:$R$604,"&lt;&gt;Unavailable"))</f>
        <v/>
      </c>
      <c r="G27" s="23" t="str">
        <f aca="false">IF(COUNTIFS(Quotes!$E$5:$E$604,$B27,Quotes!$G$5:$G$604,$C27,Quotes!$H$5:$H$604,$D27,Quotes!$J$5:$J$604,G$4,Quotes!$R$5:$R$604,"&lt;&gt;Unavailable")=0,"",_xlfn.MINIFS(Quotes!$M$5:$M$604,Quotes!$E$5:$E$604,$B27,Quotes!$G$5:$G$604,$C27,Quotes!$H$5:$H$604,$D27,Quotes!$J$5:$J$604,G$4,Quotes!$R$5:$R$604,"&lt;&gt;Unavailable"))</f>
        <v/>
      </c>
      <c r="H27" s="23" t="str">
        <f aca="false">IF(COUNTIFS(Quotes!$E$5:$E$604,$B27,Quotes!$G$5:$G$604,$C27,Quotes!$H$5:$H$604,$D27,Quotes!$J$5:$J$604,H$4,Quotes!$R$5:$R$604,"&lt;&gt;Unavailable")=0,"",_xlfn.MINIFS(Quotes!$M$5:$M$604,Quotes!$E$5:$E$604,$B27,Quotes!$G$5:$G$604,$C27,Quotes!$H$5:$H$604,$D27,Quotes!$J$5:$J$604,H$4,Quotes!$R$5:$R$604,"&lt;&gt;Unavailable"))</f>
        <v/>
      </c>
      <c r="I27" s="23" t="n">
        <f aca="false">IF(COUNTIFS(Quotes!$E$5:$E$604,$B27,Quotes!$G$5:$G$604,$C27,Quotes!$H$5:$H$604,$D27,Quotes!$J$5:$J$604,I$4,Quotes!$R$5:$R$604,"&lt;&gt;Unavailable")=0,"",_xlfn.MINIFS(Quotes!$M$5:$M$604,Quotes!$E$5:$E$604,$B27,Quotes!$G$5:$G$604,$C27,Quotes!$H$5:$H$604,$D27,Quotes!$J$5:$J$604,I$4,Quotes!$R$5:$R$604,"&lt;&gt;Unavailable"))</f>
        <v>409</v>
      </c>
      <c r="J27" s="23" t="str">
        <f aca="false">IF(COUNTIFS(Quotes!$E$5:$E$604,$B27,Quotes!$G$5:$G$604,$C27,Quotes!$H$5:$H$604,$D27,Quotes!$J$5:$J$604,J$4,Quotes!$R$5:$R$604,"&lt;&gt;Unavailable")=0,"",_xlfn.MINIFS(Quotes!$M$5:$M$604,Quotes!$E$5:$E$604,$B27,Quotes!$G$5:$G$604,$C27,Quotes!$H$5:$H$604,$D27,Quotes!$J$5:$J$604,J$4,Quotes!$R$5:$R$604,"&lt;&gt;Unavailable"))</f>
        <v/>
      </c>
      <c r="K27" s="23" t="str">
        <f aca="false">IF(COUNTIFS(Quotes!$E$5:$E$604,$B27,Quotes!$G$5:$G$604,$C27,Quotes!$H$5:$H$604,$D27,Quotes!$J$5:$J$604,K$4,Quotes!$R$5:$R$604,"&lt;&gt;Unavailable")=0,"",_xlfn.MINIFS(Quotes!$M$5:$M$604,Quotes!$E$5:$E$604,$B27,Quotes!$G$5:$G$604,$C27,Quotes!$H$5:$H$604,$D27,Quotes!$J$5:$J$604,K$4,Quotes!$R$5:$R$604,"&lt;&gt;Unavailable"))</f>
        <v/>
      </c>
      <c r="L27" s="24" t="n">
        <f aca="false">IF(COUNT(E27:K27)=0,"",MIN(E27:K27))</f>
        <v>409</v>
      </c>
      <c r="M27" s="25" t="str">
        <f aca="false">IF(L27="","",INDEX($E$4:$K$4,MATCH(L27,E27:K27,0)))</f>
        <v>Direct</v>
      </c>
      <c r="N27" s="26" t="str">
        <f aca="false">IF(OR(K27="",COUNT(E27:J27)=0),"",K27-MIN(E27:J27))</f>
        <v/>
      </c>
    </row>
    <row r="28" customFormat="false" ht="15" hidden="false" customHeight="false" outlineLevel="0" collapsed="false">
      <c r="A28" s="22" t="s">
        <v>112</v>
      </c>
      <c r="B28" s="22" t="s">
        <v>133</v>
      </c>
      <c r="C28" s="22" t="s">
        <v>134</v>
      </c>
      <c r="D28" s="22" t="s">
        <v>75</v>
      </c>
      <c r="E28" s="23" t="str">
        <f aca="false">IF(COUNTIFS(Quotes!$E$5:$E$604,$B28,Quotes!$G$5:$G$604,$C28,Quotes!$H$5:$H$604,$D28,Quotes!$J$5:$J$604,E$4,Quotes!$R$5:$R$604,"&lt;&gt;Unavailable")=0,"",_xlfn.MINIFS(Quotes!$M$5:$M$604,Quotes!$E$5:$E$604,$B28,Quotes!$G$5:$G$604,$C28,Quotes!$H$5:$H$604,$D28,Quotes!$J$5:$J$604,E$4,Quotes!$R$5:$R$604,"&lt;&gt;Unavailable"))</f>
        <v/>
      </c>
      <c r="F28" s="23" t="n">
        <f aca="false">IF(COUNTIFS(Quotes!$E$5:$E$604,$B28,Quotes!$G$5:$G$604,$C28,Quotes!$H$5:$H$604,$D28,Quotes!$J$5:$J$604,F$4,Quotes!$R$5:$R$604,"&lt;&gt;Unavailable")=0,"",_xlfn.MINIFS(Quotes!$M$5:$M$604,Quotes!$E$5:$E$604,$B28,Quotes!$G$5:$G$604,$C28,Quotes!$H$5:$H$604,$D28,Quotes!$J$5:$J$604,F$4,Quotes!$R$5:$R$604,"&lt;&gt;Unavailable"))</f>
        <v>322.523860021209</v>
      </c>
      <c r="G28" s="23" t="str">
        <f aca="false">IF(COUNTIFS(Quotes!$E$5:$E$604,$B28,Quotes!$G$5:$G$604,$C28,Quotes!$H$5:$H$604,$D28,Quotes!$J$5:$J$604,G$4,Quotes!$R$5:$R$604,"&lt;&gt;Unavailable")=0,"",_xlfn.MINIFS(Quotes!$M$5:$M$604,Quotes!$E$5:$E$604,$B28,Quotes!$G$5:$G$604,$C28,Quotes!$H$5:$H$604,$D28,Quotes!$J$5:$J$604,G$4,Quotes!$R$5:$R$604,"&lt;&gt;Unavailable"))</f>
        <v/>
      </c>
      <c r="H28" s="23" t="str">
        <f aca="false">IF(COUNTIFS(Quotes!$E$5:$E$604,$B28,Quotes!$G$5:$G$604,$C28,Quotes!$H$5:$H$604,$D28,Quotes!$J$5:$J$604,H$4,Quotes!$R$5:$R$604,"&lt;&gt;Unavailable")=0,"",_xlfn.MINIFS(Quotes!$M$5:$M$604,Quotes!$E$5:$E$604,$B28,Quotes!$G$5:$G$604,$C28,Quotes!$H$5:$H$604,$D28,Quotes!$J$5:$J$604,H$4,Quotes!$R$5:$R$604,"&lt;&gt;Unavailable"))</f>
        <v/>
      </c>
      <c r="I28" s="23" t="str">
        <f aca="false">IF(COUNTIFS(Quotes!$E$5:$E$604,$B28,Quotes!$G$5:$G$604,$C28,Quotes!$H$5:$H$604,$D28,Quotes!$J$5:$J$604,I$4,Quotes!$R$5:$R$604,"&lt;&gt;Unavailable")=0,"",_xlfn.MINIFS(Quotes!$M$5:$M$604,Quotes!$E$5:$E$604,$B28,Quotes!$G$5:$G$604,$C28,Quotes!$H$5:$H$604,$D28,Quotes!$J$5:$J$604,I$4,Quotes!$R$5:$R$604,"&lt;&gt;Unavailable"))</f>
        <v/>
      </c>
      <c r="J28" s="23" t="str">
        <f aca="false">IF(COUNTIFS(Quotes!$E$5:$E$604,$B28,Quotes!$G$5:$G$604,$C28,Quotes!$H$5:$H$604,$D28,Quotes!$J$5:$J$604,J$4,Quotes!$R$5:$R$604,"&lt;&gt;Unavailable")=0,"",_xlfn.MINIFS(Quotes!$M$5:$M$604,Quotes!$E$5:$E$604,$B28,Quotes!$G$5:$G$604,$C28,Quotes!$H$5:$H$604,$D28,Quotes!$J$5:$J$604,J$4,Quotes!$R$5:$R$604,"&lt;&gt;Unavailable"))</f>
        <v/>
      </c>
      <c r="K28" s="23" t="n">
        <f aca="false">IF(COUNTIFS(Quotes!$E$5:$E$604,$B28,Quotes!$G$5:$G$604,$C28,Quotes!$H$5:$H$604,$D28,Quotes!$J$5:$J$604,K$4,Quotes!$R$5:$R$604,"&lt;&gt;Unavailable")=0,"",_xlfn.MINIFS(Quotes!$M$5:$M$604,Quotes!$E$5:$E$604,$B28,Quotes!$G$5:$G$604,$C28,Quotes!$H$5:$H$604,$D28,Quotes!$J$5:$J$604,K$4,Quotes!$R$5:$R$604,"&lt;&gt;Unavailable"))</f>
        <v>375.885471898197</v>
      </c>
      <c r="L28" s="24" t="n">
        <f aca="false">IF(COUNT(E28:K28)=0,"",MIN(E28:K28))</f>
        <v>322.523860021209</v>
      </c>
      <c r="M28" s="25" t="str">
        <f aca="false">IF(L28="","",INDEX($E$4:$K$4,MATCH(L28,E28:K28,0)))</f>
        <v>TBO</v>
      </c>
      <c r="N28" s="26" t="n">
        <f aca="false">IF(OR(K28="",COUNT(E28:J28)=0),"",K28-MIN(E28:J28))</f>
        <v>53.3616118769883</v>
      </c>
    </row>
    <row r="29" customFormat="false" ht="15" hidden="false" customHeight="false" outlineLevel="0" collapsed="false">
      <c r="A29" s="22" t="s">
        <v>112</v>
      </c>
      <c r="B29" s="22" t="s">
        <v>133</v>
      </c>
      <c r="C29" s="22" t="s">
        <v>136</v>
      </c>
      <c r="D29" s="22" t="s">
        <v>75</v>
      </c>
      <c r="E29" s="23" t="str">
        <f aca="false">IF(COUNTIFS(Quotes!$E$5:$E$604,$B29,Quotes!$G$5:$G$604,$C29,Quotes!$H$5:$H$604,$D29,Quotes!$J$5:$J$604,E$4,Quotes!$R$5:$R$604,"&lt;&gt;Unavailable")=0,"",_xlfn.MINIFS(Quotes!$M$5:$M$604,Quotes!$E$5:$E$604,$B29,Quotes!$G$5:$G$604,$C29,Quotes!$H$5:$H$604,$D29,Quotes!$J$5:$J$604,E$4,Quotes!$R$5:$R$604,"&lt;&gt;Unavailable"))</f>
        <v/>
      </c>
      <c r="F29" s="23" t="n">
        <f aca="false">IF(COUNTIFS(Quotes!$E$5:$E$604,$B29,Quotes!$G$5:$G$604,$C29,Quotes!$H$5:$H$604,$D29,Quotes!$J$5:$J$604,F$4,Quotes!$R$5:$R$604,"&lt;&gt;Unavailable")=0,"",_xlfn.MINIFS(Quotes!$M$5:$M$604,Quotes!$E$5:$E$604,$B29,Quotes!$G$5:$G$604,$C29,Quotes!$H$5:$H$604,$D29,Quotes!$J$5:$J$604,F$4,Quotes!$R$5:$R$604,"&lt;&gt;Unavailable"))</f>
        <v>366.839872746554</v>
      </c>
      <c r="G29" s="23" t="str">
        <f aca="false">IF(COUNTIFS(Quotes!$E$5:$E$604,$B29,Quotes!$G$5:$G$604,$C29,Quotes!$H$5:$H$604,$D29,Quotes!$J$5:$J$604,G$4,Quotes!$R$5:$R$604,"&lt;&gt;Unavailable")=0,"",_xlfn.MINIFS(Quotes!$M$5:$M$604,Quotes!$E$5:$E$604,$B29,Quotes!$G$5:$G$604,$C29,Quotes!$H$5:$H$604,$D29,Quotes!$J$5:$J$604,G$4,Quotes!$R$5:$R$604,"&lt;&gt;Unavailable"))</f>
        <v/>
      </c>
      <c r="H29" s="23" t="str">
        <f aca="false">IF(COUNTIFS(Quotes!$E$5:$E$604,$B29,Quotes!$G$5:$G$604,$C29,Quotes!$H$5:$H$604,$D29,Quotes!$J$5:$J$604,H$4,Quotes!$R$5:$R$604,"&lt;&gt;Unavailable")=0,"",_xlfn.MINIFS(Quotes!$M$5:$M$604,Quotes!$E$5:$E$604,$B29,Quotes!$G$5:$G$604,$C29,Quotes!$H$5:$H$604,$D29,Quotes!$J$5:$J$604,H$4,Quotes!$R$5:$R$604,"&lt;&gt;Unavailable"))</f>
        <v/>
      </c>
      <c r="I29" s="23" t="str">
        <f aca="false">IF(COUNTIFS(Quotes!$E$5:$E$604,$B29,Quotes!$G$5:$G$604,$C29,Quotes!$H$5:$H$604,$D29,Quotes!$J$5:$J$604,I$4,Quotes!$R$5:$R$604,"&lt;&gt;Unavailable")=0,"",_xlfn.MINIFS(Quotes!$M$5:$M$604,Quotes!$E$5:$E$604,$B29,Quotes!$G$5:$G$604,$C29,Quotes!$H$5:$H$604,$D29,Quotes!$J$5:$J$604,I$4,Quotes!$R$5:$R$604,"&lt;&gt;Unavailable"))</f>
        <v/>
      </c>
      <c r="J29" s="23" t="str">
        <f aca="false">IF(COUNTIFS(Quotes!$E$5:$E$604,$B29,Quotes!$G$5:$G$604,$C29,Quotes!$H$5:$H$604,$D29,Quotes!$J$5:$J$604,J$4,Quotes!$R$5:$R$604,"&lt;&gt;Unavailable")=0,"",_xlfn.MINIFS(Quotes!$M$5:$M$604,Quotes!$E$5:$E$604,$B29,Quotes!$G$5:$G$604,$C29,Quotes!$H$5:$H$604,$D29,Quotes!$J$5:$J$604,J$4,Quotes!$R$5:$R$604,"&lt;&gt;Unavailable"))</f>
        <v/>
      </c>
      <c r="K29" s="23" t="n">
        <f aca="false">IF(COUNTIFS(Quotes!$E$5:$E$604,$B29,Quotes!$G$5:$G$604,$C29,Quotes!$H$5:$H$604,$D29,Quotes!$J$5:$J$604,K$4,Quotes!$R$5:$R$604,"&lt;&gt;Unavailable")=0,"",_xlfn.MINIFS(Quotes!$M$5:$M$604,Quotes!$E$5:$E$604,$B29,Quotes!$G$5:$G$604,$C29,Quotes!$H$5:$H$604,$D29,Quotes!$J$5:$J$604,K$4,Quotes!$R$5:$R$604,"&lt;&gt;Unavailable"))</f>
        <v>427.401908801697</v>
      </c>
      <c r="L29" s="24" t="n">
        <f aca="false">IF(COUNT(E29:K29)=0,"",MIN(E29:K29))</f>
        <v>366.839872746554</v>
      </c>
      <c r="M29" s="25" t="str">
        <f aca="false">IF(L29="","",INDEX($E$4:$K$4,MATCH(L29,E29:K29,0)))</f>
        <v>TBO</v>
      </c>
      <c r="N29" s="26" t="n">
        <f aca="false">IF(OR(K29="",COUNT(E29:J29)=0),"",K29-MIN(E29:J29))</f>
        <v>60.5620360551432</v>
      </c>
    </row>
    <row r="30" customFormat="false" ht="15" hidden="false" customHeight="false" outlineLevel="0" collapsed="false">
      <c r="A30" s="22" t="s">
        <v>112</v>
      </c>
      <c r="B30" s="22" t="s">
        <v>129</v>
      </c>
      <c r="C30" s="22" t="s">
        <v>137</v>
      </c>
      <c r="D30" s="22" t="s">
        <v>75</v>
      </c>
      <c r="E30" s="23" t="n">
        <f aca="false">IF(COUNTIFS(Quotes!$E$5:$E$604,$B30,Quotes!$G$5:$G$604,$C30,Quotes!$H$5:$H$604,$D30,Quotes!$J$5:$J$604,E$4,Quotes!$R$5:$R$604,"&lt;&gt;Unavailable")=0,"",_xlfn.MINIFS(Quotes!$M$5:$M$604,Quotes!$E$5:$E$604,$B30,Quotes!$G$5:$G$604,$C30,Quotes!$H$5:$H$604,$D30,Quotes!$J$5:$J$604,E$4,Quotes!$R$5:$R$604,"&lt;&gt;Unavailable"))</f>
        <v>366.039024390244</v>
      </c>
      <c r="F30" s="23" t="str">
        <f aca="false">IF(COUNTIFS(Quotes!$E$5:$E$604,$B30,Quotes!$G$5:$G$604,$C30,Quotes!$H$5:$H$604,$D30,Quotes!$J$5:$J$604,F$4,Quotes!$R$5:$R$604,"&lt;&gt;Unavailable")=0,"",_xlfn.MINIFS(Quotes!$M$5:$M$604,Quotes!$E$5:$E$604,$B30,Quotes!$G$5:$G$604,$C30,Quotes!$H$5:$H$604,$D30,Quotes!$J$5:$J$604,F$4,Quotes!$R$5:$R$604,"&lt;&gt;Unavailable"))</f>
        <v/>
      </c>
      <c r="G30" s="23" t="str">
        <f aca="false">IF(COUNTIFS(Quotes!$E$5:$E$604,$B30,Quotes!$G$5:$G$604,$C30,Quotes!$H$5:$H$604,$D30,Quotes!$J$5:$J$604,G$4,Quotes!$R$5:$R$604,"&lt;&gt;Unavailable")=0,"",_xlfn.MINIFS(Quotes!$M$5:$M$604,Quotes!$E$5:$E$604,$B30,Quotes!$G$5:$G$604,$C30,Quotes!$H$5:$H$604,$D30,Quotes!$J$5:$J$604,G$4,Quotes!$R$5:$R$604,"&lt;&gt;Unavailable"))</f>
        <v/>
      </c>
      <c r="H30" s="23" t="str">
        <f aca="false">IF(COUNTIFS(Quotes!$E$5:$E$604,$B30,Quotes!$G$5:$G$604,$C30,Quotes!$H$5:$H$604,$D30,Quotes!$J$5:$J$604,H$4,Quotes!$R$5:$R$604,"&lt;&gt;Unavailable")=0,"",_xlfn.MINIFS(Quotes!$M$5:$M$604,Quotes!$E$5:$E$604,$B30,Quotes!$G$5:$G$604,$C30,Quotes!$H$5:$H$604,$D30,Quotes!$J$5:$J$604,H$4,Quotes!$R$5:$R$604,"&lt;&gt;Unavailable"))</f>
        <v/>
      </c>
      <c r="I30" s="23" t="str">
        <f aca="false">IF(COUNTIFS(Quotes!$E$5:$E$604,$B30,Quotes!$G$5:$G$604,$C30,Quotes!$H$5:$H$604,$D30,Quotes!$J$5:$J$604,I$4,Quotes!$R$5:$R$604,"&lt;&gt;Unavailable")=0,"",_xlfn.MINIFS(Quotes!$M$5:$M$604,Quotes!$E$5:$E$604,$B30,Quotes!$G$5:$G$604,$C30,Quotes!$H$5:$H$604,$D30,Quotes!$J$5:$J$604,I$4,Quotes!$R$5:$R$604,"&lt;&gt;Unavailable"))</f>
        <v/>
      </c>
      <c r="J30" s="23" t="str">
        <f aca="false">IF(COUNTIFS(Quotes!$E$5:$E$604,$B30,Quotes!$G$5:$G$604,$C30,Quotes!$H$5:$H$604,$D30,Quotes!$J$5:$J$604,J$4,Quotes!$R$5:$R$604,"&lt;&gt;Unavailable")=0,"",_xlfn.MINIFS(Quotes!$M$5:$M$604,Quotes!$E$5:$E$604,$B30,Quotes!$G$5:$G$604,$C30,Quotes!$H$5:$H$604,$D30,Quotes!$J$5:$J$604,J$4,Quotes!$R$5:$R$604,"&lt;&gt;Unavailable"))</f>
        <v/>
      </c>
      <c r="K30" s="23" t="n">
        <f aca="false">IF(COUNTIFS(Quotes!$E$5:$E$604,$B30,Quotes!$G$5:$G$604,$C30,Quotes!$H$5:$H$604,$D30,Quotes!$J$5:$J$604,K$4,Quotes!$R$5:$R$604,"&lt;&gt;Unavailable")=0,"",_xlfn.MINIFS(Quotes!$M$5:$M$604,Quotes!$E$5:$E$604,$B30,Quotes!$G$5:$G$604,$C30,Quotes!$H$5:$H$604,$D30,Quotes!$J$5:$J$604,K$4,Quotes!$R$5:$R$604,"&lt;&gt;Unavailable"))</f>
        <v>315</v>
      </c>
      <c r="L30" s="24" t="n">
        <f aca="false">IF(COUNT(E30:K30)=0,"",MIN(E30:K30))</f>
        <v>315</v>
      </c>
      <c r="M30" s="25" t="str">
        <f aca="false">IF(L30="","",INDEX($E$4:$K$4,MATCH(L30,E30:K30,0)))</f>
        <v>Booking.com</v>
      </c>
      <c r="N30" s="26" t="n">
        <f aca="false">IF(OR(K30="",COUNT(E30:J30)=0),"",K30-MIN(E30:J30))</f>
        <v>-51.0390243902439</v>
      </c>
    </row>
    <row r="31" customFormat="false" ht="15" hidden="false" customHeight="false" outlineLevel="0" collapsed="false">
      <c r="A31" s="22" t="s">
        <v>112</v>
      </c>
      <c r="B31" s="22" t="s">
        <v>139</v>
      </c>
      <c r="C31" s="22" t="s">
        <v>140</v>
      </c>
      <c r="D31" s="22" t="s">
        <v>75</v>
      </c>
      <c r="E31" s="23" t="n">
        <f aca="false">IF(COUNTIFS(Quotes!$E$5:$E$604,$B31,Quotes!$G$5:$G$604,$C31,Quotes!$H$5:$H$604,$D31,Quotes!$J$5:$J$604,E$4,Quotes!$R$5:$R$604,"&lt;&gt;Unavailable")=0,"",_xlfn.MINIFS(Quotes!$M$5:$M$604,Quotes!$E$5:$E$604,$B31,Quotes!$G$5:$G$604,$C31,Quotes!$H$5:$H$604,$D31,Quotes!$J$5:$J$604,E$4,Quotes!$R$5:$R$604,"&lt;&gt;Unavailable"))</f>
        <v>192.469353128314</v>
      </c>
      <c r="F31" s="23" t="str">
        <f aca="false">IF(COUNTIFS(Quotes!$E$5:$E$604,$B31,Quotes!$G$5:$G$604,$C31,Quotes!$H$5:$H$604,$D31,Quotes!$J$5:$J$604,F$4,Quotes!$R$5:$R$604,"&lt;&gt;Unavailable")=0,"",_xlfn.MINIFS(Quotes!$M$5:$M$604,Quotes!$E$5:$E$604,$B31,Quotes!$G$5:$G$604,$C31,Quotes!$H$5:$H$604,$D31,Quotes!$J$5:$J$604,F$4,Quotes!$R$5:$R$604,"&lt;&gt;Unavailable"))</f>
        <v/>
      </c>
      <c r="G31" s="23" t="str">
        <f aca="false">IF(COUNTIFS(Quotes!$E$5:$E$604,$B31,Quotes!$G$5:$G$604,$C31,Quotes!$H$5:$H$604,$D31,Quotes!$J$5:$J$604,G$4,Quotes!$R$5:$R$604,"&lt;&gt;Unavailable")=0,"",_xlfn.MINIFS(Quotes!$M$5:$M$604,Quotes!$E$5:$E$604,$B31,Quotes!$G$5:$G$604,$C31,Quotes!$H$5:$H$604,$D31,Quotes!$J$5:$J$604,G$4,Quotes!$R$5:$R$604,"&lt;&gt;Unavailable"))</f>
        <v/>
      </c>
      <c r="H31" s="23" t="str">
        <f aca="false">IF(COUNTIFS(Quotes!$E$5:$E$604,$B31,Quotes!$G$5:$G$604,$C31,Quotes!$H$5:$H$604,$D31,Quotes!$J$5:$J$604,H$4,Quotes!$R$5:$R$604,"&lt;&gt;Unavailable")=0,"",_xlfn.MINIFS(Quotes!$M$5:$M$604,Quotes!$E$5:$E$604,$B31,Quotes!$G$5:$G$604,$C31,Quotes!$H$5:$H$604,$D31,Quotes!$J$5:$J$604,H$4,Quotes!$R$5:$R$604,"&lt;&gt;Unavailable"))</f>
        <v/>
      </c>
      <c r="I31" s="23" t="str">
        <f aca="false">IF(COUNTIFS(Quotes!$E$5:$E$604,$B31,Quotes!$G$5:$G$604,$C31,Quotes!$H$5:$H$604,$D31,Quotes!$J$5:$J$604,I$4,Quotes!$R$5:$R$604,"&lt;&gt;Unavailable")=0,"",_xlfn.MINIFS(Quotes!$M$5:$M$604,Quotes!$E$5:$E$604,$B31,Quotes!$G$5:$G$604,$C31,Quotes!$H$5:$H$604,$D31,Quotes!$J$5:$J$604,I$4,Quotes!$R$5:$R$604,"&lt;&gt;Unavailable"))</f>
        <v/>
      </c>
      <c r="J31" s="23" t="str">
        <f aca="false">IF(COUNTIFS(Quotes!$E$5:$E$604,$B31,Quotes!$G$5:$G$604,$C31,Quotes!$H$5:$H$604,$D31,Quotes!$J$5:$J$604,J$4,Quotes!$R$5:$R$604,"&lt;&gt;Unavailable")=0,"",_xlfn.MINIFS(Quotes!$M$5:$M$604,Quotes!$E$5:$E$604,$B31,Quotes!$G$5:$G$604,$C31,Quotes!$H$5:$H$604,$D31,Quotes!$J$5:$J$604,J$4,Quotes!$R$5:$R$604,"&lt;&gt;Unavailable"))</f>
        <v/>
      </c>
      <c r="K31" s="23" t="n">
        <f aca="false">IF(COUNTIFS(Quotes!$E$5:$E$604,$B31,Quotes!$G$5:$G$604,$C31,Quotes!$H$5:$H$604,$D31,Quotes!$J$5:$J$604,K$4,Quotes!$R$5:$R$604,"&lt;&gt;Unavailable")=0,"",_xlfn.MINIFS(Quotes!$M$5:$M$604,Quotes!$E$5:$E$604,$B31,Quotes!$G$5:$G$604,$C31,Quotes!$H$5:$H$604,$D31,Quotes!$J$5:$J$604,K$4,Quotes!$R$5:$R$604,"&lt;&gt;Unavailable"))</f>
        <v>230</v>
      </c>
      <c r="L31" s="24" t="n">
        <f aca="false">IF(COUNT(E31:K31)=0,"",MIN(E31:K31))</f>
        <v>192.469353128314</v>
      </c>
      <c r="M31" s="25" t="str">
        <f aca="false">IF(L31="","",INDEX($E$4:$K$4,MATCH(L31,E31:K31,0)))</f>
        <v>Ottila</v>
      </c>
      <c r="N31" s="26" t="n">
        <f aca="false">IF(OR(K31="",COUNT(E31:J31)=0),"",K31-MIN(E31:J31))</f>
        <v>37.5306468716861</v>
      </c>
    </row>
    <row r="32" customFormat="false" ht="15" hidden="false" customHeight="false" outlineLevel="0" collapsed="false">
      <c r="A32" s="22" t="s">
        <v>141</v>
      </c>
      <c r="B32" s="22" t="s">
        <v>142</v>
      </c>
      <c r="C32" s="22" t="s">
        <v>143</v>
      </c>
      <c r="D32" s="22" t="s">
        <v>75</v>
      </c>
      <c r="E32" s="23" t="n">
        <f aca="false">IF(COUNTIFS(Quotes!$E$5:$E$604,$B32,Quotes!$G$5:$G$604,$C32,Quotes!$H$5:$H$604,$D32,Quotes!$J$5:$J$604,E$4,Quotes!$R$5:$R$604,"&lt;&gt;Unavailable")=0,"",_xlfn.MINIFS(Quotes!$M$5:$M$604,Quotes!$E$5:$E$604,$B32,Quotes!$G$5:$G$604,$C32,Quotes!$H$5:$H$604,$D32,Quotes!$J$5:$J$604,E$4,Quotes!$R$5:$R$604,"&lt;&gt;Unavailable"))</f>
        <v>1275.93849416755</v>
      </c>
      <c r="F32" s="23" t="str">
        <f aca="false">IF(COUNTIFS(Quotes!$E$5:$E$604,$B32,Quotes!$G$5:$G$604,$C32,Quotes!$H$5:$H$604,$D32,Quotes!$J$5:$J$604,F$4,Quotes!$R$5:$R$604,"&lt;&gt;Unavailable")=0,"",_xlfn.MINIFS(Quotes!$M$5:$M$604,Quotes!$E$5:$E$604,$B32,Quotes!$G$5:$G$604,$C32,Quotes!$H$5:$H$604,$D32,Quotes!$J$5:$J$604,F$4,Quotes!$R$5:$R$604,"&lt;&gt;Unavailable"))</f>
        <v/>
      </c>
      <c r="G32" s="23" t="str">
        <f aca="false">IF(COUNTIFS(Quotes!$E$5:$E$604,$B32,Quotes!$G$5:$G$604,$C32,Quotes!$H$5:$H$604,$D32,Quotes!$J$5:$J$604,G$4,Quotes!$R$5:$R$604,"&lt;&gt;Unavailable")=0,"",_xlfn.MINIFS(Quotes!$M$5:$M$604,Quotes!$E$5:$E$604,$B32,Quotes!$G$5:$G$604,$C32,Quotes!$H$5:$H$604,$D32,Quotes!$J$5:$J$604,G$4,Quotes!$R$5:$R$604,"&lt;&gt;Unavailable"))</f>
        <v/>
      </c>
      <c r="H32" s="23" t="str">
        <f aca="false">IF(COUNTIFS(Quotes!$E$5:$E$604,$B32,Quotes!$G$5:$G$604,$C32,Quotes!$H$5:$H$604,$D32,Quotes!$J$5:$J$604,H$4,Quotes!$R$5:$R$604,"&lt;&gt;Unavailable")=0,"",_xlfn.MINIFS(Quotes!$M$5:$M$604,Quotes!$E$5:$E$604,$B32,Quotes!$G$5:$G$604,$C32,Quotes!$H$5:$H$604,$D32,Quotes!$J$5:$J$604,H$4,Quotes!$R$5:$R$604,"&lt;&gt;Unavailable"))</f>
        <v/>
      </c>
      <c r="I32" s="23" t="str">
        <f aca="false">IF(COUNTIFS(Quotes!$E$5:$E$604,$B32,Quotes!$G$5:$G$604,$C32,Quotes!$H$5:$H$604,$D32,Quotes!$J$5:$J$604,I$4,Quotes!$R$5:$R$604,"&lt;&gt;Unavailable")=0,"",_xlfn.MINIFS(Quotes!$M$5:$M$604,Quotes!$E$5:$E$604,$B32,Quotes!$G$5:$G$604,$C32,Quotes!$H$5:$H$604,$D32,Quotes!$J$5:$J$604,I$4,Quotes!$R$5:$R$604,"&lt;&gt;Unavailable"))</f>
        <v/>
      </c>
      <c r="J32" s="23" t="str">
        <f aca="false">IF(COUNTIFS(Quotes!$E$5:$E$604,$B32,Quotes!$G$5:$G$604,$C32,Quotes!$H$5:$H$604,$D32,Quotes!$J$5:$J$604,J$4,Quotes!$R$5:$R$604,"&lt;&gt;Unavailable")=0,"",_xlfn.MINIFS(Quotes!$M$5:$M$604,Quotes!$E$5:$E$604,$B32,Quotes!$G$5:$G$604,$C32,Quotes!$H$5:$H$604,$D32,Quotes!$J$5:$J$604,J$4,Quotes!$R$5:$R$604,"&lt;&gt;Unavailable"))</f>
        <v/>
      </c>
      <c r="K32" s="23" t="n">
        <f aca="false">IF(COUNTIFS(Quotes!$E$5:$E$604,$B32,Quotes!$G$5:$G$604,$C32,Quotes!$H$5:$H$604,$D32,Quotes!$J$5:$J$604,K$4,Quotes!$R$5:$R$604,"&lt;&gt;Unavailable")=0,"",_xlfn.MINIFS(Quotes!$M$5:$M$604,Quotes!$E$5:$E$604,$B32,Quotes!$G$5:$G$604,$C32,Quotes!$H$5:$H$604,$D32,Quotes!$J$5:$J$604,K$4,Quotes!$R$5:$R$604,"&lt;&gt;Unavailable"))</f>
        <v>771.092258748675</v>
      </c>
      <c r="L32" s="24" t="n">
        <f aca="false">IF(COUNT(E32:K32)=0,"",MIN(E32:K32))</f>
        <v>771.092258748675</v>
      </c>
      <c r="M32" s="25" t="str">
        <f aca="false">IF(L32="","",INDEX($E$4:$K$4,MATCH(L32,E32:K32,0)))</f>
        <v>Booking.com</v>
      </c>
      <c r="N32" s="26" t="n">
        <f aca="false">IF(OR(K32="",COUNT(E32:J32)=0),"",K32-MIN(E32:J32))</f>
        <v>-504.846235418876</v>
      </c>
    </row>
    <row r="33" customFormat="false" ht="23.85" hidden="false" customHeight="false" outlineLevel="0" collapsed="false">
      <c r="A33" s="22" t="s">
        <v>141</v>
      </c>
      <c r="B33" s="22" t="s">
        <v>142</v>
      </c>
      <c r="C33" s="22" t="s">
        <v>144</v>
      </c>
      <c r="D33" s="22" t="s">
        <v>75</v>
      </c>
      <c r="E33" s="23" t="n">
        <f aca="false">IF(COUNTIFS(Quotes!$E$5:$E$604,$B33,Quotes!$G$5:$G$604,$C33,Quotes!$H$5:$H$604,$D33,Quotes!$J$5:$J$604,E$4,Quotes!$R$5:$R$604,"&lt;&gt;Unavailable")=0,"",_xlfn.MINIFS(Quotes!$M$5:$M$604,Quotes!$E$5:$E$604,$B33,Quotes!$G$5:$G$604,$C33,Quotes!$H$5:$H$604,$D33,Quotes!$J$5:$J$604,E$4,Quotes!$R$5:$R$604,"&lt;&gt;Unavailable"))</f>
        <v>1547.27465535525</v>
      </c>
      <c r="F33" s="23" t="str">
        <f aca="false">IF(COUNTIFS(Quotes!$E$5:$E$604,$B33,Quotes!$G$5:$G$604,$C33,Quotes!$H$5:$H$604,$D33,Quotes!$J$5:$J$604,F$4,Quotes!$R$5:$R$604,"&lt;&gt;Unavailable")=0,"",_xlfn.MINIFS(Quotes!$M$5:$M$604,Quotes!$E$5:$E$604,$B33,Quotes!$G$5:$G$604,$C33,Quotes!$H$5:$H$604,$D33,Quotes!$J$5:$J$604,F$4,Quotes!$R$5:$R$604,"&lt;&gt;Unavailable"))</f>
        <v/>
      </c>
      <c r="G33" s="23" t="str">
        <f aca="false">IF(COUNTIFS(Quotes!$E$5:$E$604,$B33,Quotes!$G$5:$G$604,$C33,Quotes!$H$5:$H$604,$D33,Quotes!$J$5:$J$604,G$4,Quotes!$R$5:$R$604,"&lt;&gt;Unavailable")=0,"",_xlfn.MINIFS(Quotes!$M$5:$M$604,Quotes!$E$5:$E$604,$B33,Quotes!$G$5:$G$604,$C33,Quotes!$H$5:$H$604,$D33,Quotes!$J$5:$J$604,G$4,Quotes!$R$5:$R$604,"&lt;&gt;Unavailable"))</f>
        <v/>
      </c>
      <c r="H33" s="23" t="str">
        <f aca="false">IF(COUNTIFS(Quotes!$E$5:$E$604,$B33,Quotes!$G$5:$G$604,$C33,Quotes!$H$5:$H$604,$D33,Quotes!$J$5:$J$604,H$4,Quotes!$R$5:$R$604,"&lt;&gt;Unavailable")=0,"",_xlfn.MINIFS(Quotes!$M$5:$M$604,Quotes!$E$5:$E$604,$B33,Quotes!$G$5:$G$604,$C33,Quotes!$H$5:$H$604,$D33,Quotes!$J$5:$J$604,H$4,Quotes!$R$5:$R$604,"&lt;&gt;Unavailable"))</f>
        <v/>
      </c>
      <c r="I33" s="23" t="str">
        <f aca="false">IF(COUNTIFS(Quotes!$E$5:$E$604,$B33,Quotes!$G$5:$G$604,$C33,Quotes!$H$5:$H$604,$D33,Quotes!$J$5:$J$604,I$4,Quotes!$R$5:$R$604,"&lt;&gt;Unavailable")=0,"",_xlfn.MINIFS(Quotes!$M$5:$M$604,Quotes!$E$5:$E$604,$B33,Quotes!$G$5:$G$604,$C33,Quotes!$H$5:$H$604,$D33,Quotes!$J$5:$J$604,I$4,Quotes!$R$5:$R$604,"&lt;&gt;Unavailable"))</f>
        <v/>
      </c>
      <c r="J33" s="23" t="str">
        <f aca="false">IF(COUNTIFS(Quotes!$E$5:$E$604,$B33,Quotes!$G$5:$G$604,$C33,Quotes!$H$5:$H$604,$D33,Quotes!$J$5:$J$604,J$4,Quotes!$R$5:$R$604,"&lt;&gt;Unavailable")=0,"",_xlfn.MINIFS(Quotes!$M$5:$M$604,Quotes!$E$5:$E$604,$B33,Quotes!$G$5:$G$604,$C33,Quotes!$H$5:$H$604,$D33,Quotes!$J$5:$J$604,J$4,Quotes!$R$5:$R$604,"&lt;&gt;Unavailable"))</f>
        <v/>
      </c>
      <c r="K33" s="23" t="n">
        <f aca="false">IF(COUNTIFS(Quotes!$E$5:$E$604,$B33,Quotes!$G$5:$G$604,$C33,Quotes!$H$5:$H$604,$D33,Quotes!$J$5:$J$604,K$4,Quotes!$R$5:$R$604,"&lt;&gt;Unavailable")=0,"",_xlfn.MINIFS(Quotes!$M$5:$M$604,Quotes!$E$5:$E$604,$B33,Quotes!$G$5:$G$604,$C33,Quotes!$H$5:$H$604,$D33,Quotes!$J$5:$J$604,K$4,Quotes!$R$5:$R$604,"&lt;&gt;Unavailable"))</f>
        <v>771.092258748675</v>
      </c>
      <c r="L33" s="24" t="n">
        <f aca="false">IF(COUNT(E33:K33)=0,"",MIN(E33:K33))</f>
        <v>771.092258748675</v>
      </c>
      <c r="M33" s="25" t="str">
        <f aca="false">IF(L33="","",INDEX($E$4:$K$4,MATCH(L33,E33:K33,0)))</f>
        <v>Booking.com</v>
      </c>
      <c r="N33" s="26" t="n">
        <f aca="false">IF(OR(K33="",COUNT(E33:J33)=0),"",K33-MIN(E33:J33))</f>
        <v>-776.182396606575</v>
      </c>
    </row>
    <row r="34" customFormat="false" ht="15" hidden="false" customHeight="false" outlineLevel="0" collapsed="false">
      <c r="A34" s="22" t="s">
        <v>141</v>
      </c>
      <c r="B34" s="22" t="s">
        <v>142</v>
      </c>
      <c r="C34" s="22" t="s">
        <v>145</v>
      </c>
      <c r="D34" s="22" t="s">
        <v>104</v>
      </c>
      <c r="E34" s="23" t="n">
        <f aca="false">IF(COUNTIFS(Quotes!$E$5:$E$604,$B34,Quotes!$G$5:$G$604,$C34,Quotes!$H$5:$H$604,$D34,Quotes!$J$5:$J$604,E$4,Quotes!$R$5:$R$604,"&lt;&gt;Unavailable")=0,"",_xlfn.MINIFS(Quotes!$M$5:$M$604,Quotes!$E$5:$E$604,$B34,Quotes!$G$5:$G$604,$C34,Quotes!$H$5:$H$604,$D34,Quotes!$J$5:$J$604,E$4,Quotes!$R$5:$R$604,"&lt;&gt;Unavailable"))</f>
        <v>870.519618239661</v>
      </c>
      <c r="F34" s="23" t="str">
        <f aca="false">IF(COUNTIFS(Quotes!$E$5:$E$604,$B34,Quotes!$G$5:$G$604,$C34,Quotes!$H$5:$H$604,$D34,Quotes!$J$5:$J$604,F$4,Quotes!$R$5:$R$604,"&lt;&gt;Unavailable")=0,"",_xlfn.MINIFS(Quotes!$M$5:$M$604,Quotes!$E$5:$E$604,$B34,Quotes!$G$5:$G$604,$C34,Quotes!$H$5:$H$604,$D34,Quotes!$J$5:$J$604,F$4,Quotes!$R$5:$R$604,"&lt;&gt;Unavailable"))</f>
        <v/>
      </c>
      <c r="G34" s="23" t="str">
        <f aca="false">IF(COUNTIFS(Quotes!$E$5:$E$604,$B34,Quotes!$G$5:$G$604,$C34,Quotes!$H$5:$H$604,$D34,Quotes!$J$5:$J$604,G$4,Quotes!$R$5:$R$604,"&lt;&gt;Unavailable")=0,"",_xlfn.MINIFS(Quotes!$M$5:$M$604,Quotes!$E$5:$E$604,$B34,Quotes!$G$5:$G$604,$C34,Quotes!$H$5:$H$604,$D34,Quotes!$J$5:$J$604,G$4,Quotes!$R$5:$R$604,"&lt;&gt;Unavailable"))</f>
        <v/>
      </c>
      <c r="H34" s="23" t="str">
        <f aca="false">IF(COUNTIFS(Quotes!$E$5:$E$604,$B34,Quotes!$G$5:$G$604,$C34,Quotes!$H$5:$H$604,$D34,Quotes!$J$5:$J$604,H$4,Quotes!$R$5:$R$604,"&lt;&gt;Unavailable")=0,"",_xlfn.MINIFS(Quotes!$M$5:$M$604,Quotes!$E$5:$E$604,$B34,Quotes!$G$5:$G$604,$C34,Quotes!$H$5:$H$604,$D34,Quotes!$J$5:$J$604,H$4,Quotes!$R$5:$R$604,"&lt;&gt;Unavailable"))</f>
        <v/>
      </c>
      <c r="I34" s="23" t="n">
        <f aca="false">IF(COUNTIFS(Quotes!$E$5:$E$604,$B34,Quotes!$G$5:$G$604,$C34,Quotes!$H$5:$H$604,$D34,Quotes!$J$5:$J$604,I$4,Quotes!$R$5:$R$604,"&lt;&gt;Unavailable")=0,"",_xlfn.MINIFS(Quotes!$M$5:$M$604,Quotes!$E$5:$E$604,$B34,Quotes!$G$5:$G$604,$C34,Quotes!$H$5:$H$604,$D34,Quotes!$J$5:$J$604,I$4,Quotes!$R$5:$R$604,"&lt;&gt;Unavailable"))</f>
        <v>937</v>
      </c>
      <c r="J34" s="23" t="str">
        <f aca="false">IF(COUNTIFS(Quotes!$E$5:$E$604,$B34,Quotes!$G$5:$G$604,$C34,Quotes!$H$5:$H$604,$D34,Quotes!$J$5:$J$604,J$4,Quotes!$R$5:$R$604,"&lt;&gt;Unavailable")=0,"",_xlfn.MINIFS(Quotes!$M$5:$M$604,Quotes!$E$5:$E$604,$B34,Quotes!$G$5:$G$604,$C34,Quotes!$H$5:$H$604,$D34,Quotes!$J$5:$J$604,J$4,Quotes!$R$5:$R$604,"&lt;&gt;Unavailable"))</f>
        <v/>
      </c>
      <c r="K34" s="23" t="n">
        <f aca="false">IF(COUNTIFS(Quotes!$E$5:$E$604,$B34,Quotes!$G$5:$G$604,$C34,Quotes!$H$5:$H$604,$D34,Quotes!$J$5:$J$604,K$4,Quotes!$R$5:$R$604,"&lt;&gt;Unavailable")=0,"",_xlfn.MINIFS(Quotes!$M$5:$M$604,Quotes!$E$5:$E$604,$B34,Quotes!$G$5:$G$604,$C34,Quotes!$H$5:$H$604,$D34,Quotes!$J$5:$J$604,K$4,Quotes!$R$5:$R$604,"&lt;&gt;Unavailable"))</f>
        <v>928.610816542948</v>
      </c>
      <c r="L34" s="24" t="n">
        <f aca="false">IF(COUNT(E34:K34)=0,"",MIN(E34:K34))</f>
        <v>870.519618239661</v>
      </c>
      <c r="M34" s="25" t="str">
        <f aca="false">IF(L34="","",INDEX($E$4:$K$4,MATCH(L34,E34:K34,0)))</f>
        <v>Ottila</v>
      </c>
      <c r="N34" s="26" t="n">
        <f aca="false">IF(OR(K34="",COUNT(E34:J34)=0),"",K34-MIN(E34:J34))</f>
        <v>58.0911983032875</v>
      </c>
    </row>
    <row r="35" customFormat="false" ht="15" hidden="false" customHeight="false" outlineLevel="0" collapsed="false">
      <c r="A35" s="22" t="s">
        <v>141</v>
      </c>
      <c r="B35" s="22" t="s">
        <v>142</v>
      </c>
      <c r="C35" s="22" t="s">
        <v>143</v>
      </c>
      <c r="D35" s="22" t="s">
        <v>104</v>
      </c>
      <c r="E35" s="23" t="n">
        <f aca="false">IF(COUNTIFS(Quotes!$E$5:$E$604,$B35,Quotes!$G$5:$G$604,$C35,Quotes!$H$5:$H$604,$D35,Quotes!$J$5:$J$604,E$4,Quotes!$R$5:$R$604,"&lt;&gt;Unavailable")=0,"",_xlfn.MINIFS(Quotes!$M$5:$M$604,Quotes!$E$5:$E$604,$B35,Quotes!$G$5:$G$604,$C35,Quotes!$H$5:$H$604,$D35,Quotes!$J$5:$J$604,E$4,Quotes!$R$5:$R$604,"&lt;&gt;Unavailable"))</f>
        <v>772.990455991517</v>
      </c>
      <c r="F35" s="23" t="str">
        <f aca="false">IF(COUNTIFS(Quotes!$E$5:$E$604,$B35,Quotes!$G$5:$G$604,$C35,Quotes!$H$5:$H$604,$D35,Quotes!$J$5:$J$604,F$4,Quotes!$R$5:$R$604,"&lt;&gt;Unavailable")=0,"",_xlfn.MINIFS(Quotes!$M$5:$M$604,Quotes!$E$5:$E$604,$B35,Quotes!$G$5:$G$604,$C35,Quotes!$H$5:$H$604,$D35,Quotes!$J$5:$J$604,F$4,Quotes!$R$5:$R$604,"&lt;&gt;Unavailable"))</f>
        <v/>
      </c>
      <c r="G35" s="23" t="str">
        <f aca="false">IF(COUNTIFS(Quotes!$E$5:$E$604,$B35,Quotes!$G$5:$G$604,$C35,Quotes!$H$5:$H$604,$D35,Quotes!$J$5:$J$604,G$4,Quotes!$R$5:$R$604,"&lt;&gt;Unavailable")=0,"",_xlfn.MINIFS(Quotes!$M$5:$M$604,Quotes!$E$5:$E$604,$B35,Quotes!$G$5:$G$604,$C35,Quotes!$H$5:$H$604,$D35,Quotes!$J$5:$J$604,G$4,Quotes!$R$5:$R$604,"&lt;&gt;Unavailable"))</f>
        <v/>
      </c>
      <c r="H35" s="23" t="str">
        <f aca="false">IF(COUNTIFS(Quotes!$E$5:$E$604,$B35,Quotes!$G$5:$G$604,$C35,Quotes!$H$5:$H$604,$D35,Quotes!$J$5:$J$604,H$4,Quotes!$R$5:$R$604,"&lt;&gt;Unavailable")=0,"",_xlfn.MINIFS(Quotes!$M$5:$M$604,Quotes!$E$5:$E$604,$B35,Quotes!$G$5:$G$604,$C35,Quotes!$H$5:$H$604,$D35,Quotes!$J$5:$J$604,H$4,Quotes!$R$5:$R$604,"&lt;&gt;Unavailable"))</f>
        <v/>
      </c>
      <c r="I35" s="23" t="n">
        <f aca="false">IF(COUNTIFS(Quotes!$E$5:$E$604,$B35,Quotes!$G$5:$G$604,$C35,Quotes!$H$5:$H$604,$D35,Quotes!$J$5:$J$604,I$4,Quotes!$R$5:$R$604,"&lt;&gt;Unavailable")=0,"",_xlfn.MINIFS(Quotes!$M$5:$M$604,Quotes!$E$5:$E$604,$B35,Quotes!$G$5:$G$604,$C35,Quotes!$H$5:$H$604,$D35,Quotes!$J$5:$J$604,I$4,Quotes!$R$5:$R$604,"&lt;&gt;Unavailable"))</f>
        <v>1010</v>
      </c>
      <c r="J35" s="23" t="str">
        <f aca="false">IF(COUNTIFS(Quotes!$E$5:$E$604,$B35,Quotes!$G$5:$G$604,$C35,Quotes!$H$5:$H$604,$D35,Quotes!$J$5:$J$604,J$4,Quotes!$R$5:$R$604,"&lt;&gt;Unavailable")=0,"",_xlfn.MINIFS(Quotes!$M$5:$M$604,Quotes!$E$5:$E$604,$B35,Quotes!$G$5:$G$604,$C35,Quotes!$H$5:$H$604,$D35,Quotes!$J$5:$J$604,J$4,Quotes!$R$5:$R$604,"&lt;&gt;Unavailable"))</f>
        <v/>
      </c>
      <c r="K35" s="23" t="n">
        <f aca="false">IF(COUNTIFS(Quotes!$E$5:$E$604,$B35,Quotes!$G$5:$G$604,$C35,Quotes!$H$5:$H$604,$D35,Quotes!$J$5:$J$604,K$4,Quotes!$R$5:$R$604,"&lt;&gt;Unavailable")=0,"",_xlfn.MINIFS(Quotes!$M$5:$M$604,Quotes!$E$5:$E$604,$B35,Quotes!$G$5:$G$604,$C35,Quotes!$H$5:$H$604,$D35,Quotes!$J$5:$J$604,K$4,Quotes!$R$5:$R$604,"&lt;&gt;Unavailable"))</f>
        <v>824.57051961824</v>
      </c>
      <c r="L35" s="24" t="n">
        <f aca="false">IF(COUNT(E35:K35)=0,"",MIN(E35:K35))</f>
        <v>772.990455991517</v>
      </c>
      <c r="M35" s="25" t="str">
        <f aca="false">IF(L35="","",INDEX($E$4:$K$4,MATCH(L35,E35:K35,0)))</f>
        <v>Ottila</v>
      </c>
      <c r="N35" s="26" t="n">
        <f aca="false">IF(OR(K35="",COUNT(E35:J35)=0),"",K35-MIN(E35:J35))</f>
        <v>51.5800636267232</v>
      </c>
    </row>
    <row r="36" customFormat="false" ht="15" hidden="false" customHeight="false" outlineLevel="0" collapsed="false">
      <c r="A36" s="22" t="s">
        <v>141</v>
      </c>
      <c r="B36" s="22" t="s">
        <v>142</v>
      </c>
      <c r="C36" s="22" t="s">
        <v>147</v>
      </c>
      <c r="D36" s="22" t="s">
        <v>104</v>
      </c>
      <c r="E36" s="23" t="str">
        <f aca="false">IF(COUNTIFS(Quotes!$E$5:$E$604,$B36,Quotes!$G$5:$G$604,$C36,Quotes!$H$5:$H$604,$D36,Quotes!$J$5:$J$604,E$4,Quotes!$R$5:$R$604,"&lt;&gt;Unavailable")=0,"",_xlfn.MINIFS(Quotes!$M$5:$M$604,Quotes!$E$5:$E$604,$B36,Quotes!$G$5:$G$604,$C36,Quotes!$H$5:$H$604,$D36,Quotes!$J$5:$J$604,E$4,Quotes!$R$5:$R$604,"&lt;&gt;Unavailable"))</f>
        <v/>
      </c>
      <c r="F36" s="23" t="str">
        <f aca="false">IF(COUNTIFS(Quotes!$E$5:$E$604,$B36,Quotes!$G$5:$G$604,$C36,Quotes!$H$5:$H$604,$D36,Quotes!$J$5:$J$604,F$4,Quotes!$R$5:$R$604,"&lt;&gt;Unavailable")=0,"",_xlfn.MINIFS(Quotes!$M$5:$M$604,Quotes!$E$5:$E$604,$B36,Quotes!$G$5:$G$604,$C36,Quotes!$H$5:$H$604,$D36,Quotes!$J$5:$J$604,F$4,Quotes!$R$5:$R$604,"&lt;&gt;Unavailable"))</f>
        <v/>
      </c>
      <c r="G36" s="23" t="str">
        <f aca="false">IF(COUNTIFS(Quotes!$E$5:$E$604,$B36,Quotes!$G$5:$G$604,$C36,Quotes!$H$5:$H$604,$D36,Quotes!$J$5:$J$604,G$4,Quotes!$R$5:$R$604,"&lt;&gt;Unavailable")=0,"",_xlfn.MINIFS(Quotes!$M$5:$M$604,Quotes!$E$5:$E$604,$B36,Quotes!$G$5:$G$604,$C36,Quotes!$H$5:$H$604,$D36,Quotes!$J$5:$J$604,G$4,Quotes!$R$5:$R$604,"&lt;&gt;Unavailable"))</f>
        <v/>
      </c>
      <c r="H36" s="23" t="n">
        <f aca="false">IF(COUNTIFS(Quotes!$E$5:$E$604,$B36,Quotes!$G$5:$G$604,$C36,Quotes!$H$5:$H$604,$D36,Quotes!$J$5:$J$604,H$4,Quotes!$R$5:$R$604,"&lt;&gt;Unavailable")=0,"",_xlfn.MINIFS(Quotes!$M$5:$M$604,Quotes!$E$5:$E$604,$B36,Quotes!$G$5:$G$604,$C36,Quotes!$H$5:$H$604,$D36,Quotes!$J$5:$J$604,H$4,Quotes!$R$5:$R$604,"&lt;&gt;Unavailable"))</f>
        <v>548.55</v>
      </c>
      <c r="I36" s="23" t="str">
        <f aca="false">IF(COUNTIFS(Quotes!$E$5:$E$604,$B36,Quotes!$G$5:$G$604,$C36,Quotes!$H$5:$H$604,$D36,Quotes!$J$5:$J$604,I$4,Quotes!$R$5:$R$604,"&lt;&gt;Unavailable")=0,"",_xlfn.MINIFS(Quotes!$M$5:$M$604,Quotes!$E$5:$E$604,$B36,Quotes!$G$5:$G$604,$C36,Quotes!$H$5:$H$604,$D36,Quotes!$J$5:$J$604,I$4,Quotes!$R$5:$R$604,"&lt;&gt;Unavailable"))</f>
        <v/>
      </c>
      <c r="J36" s="23" t="str">
        <f aca="false">IF(COUNTIFS(Quotes!$E$5:$E$604,$B36,Quotes!$G$5:$G$604,$C36,Quotes!$H$5:$H$604,$D36,Quotes!$J$5:$J$604,J$4,Quotes!$R$5:$R$604,"&lt;&gt;Unavailable")=0,"",_xlfn.MINIFS(Quotes!$M$5:$M$604,Quotes!$E$5:$E$604,$B36,Quotes!$G$5:$G$604,$C36,Quotes!$H$5:$H$604,$D36,Quotes!$J$5:$J$604,J$4,Quotes!$R$5:$R$604,"&lt;&gt;Unavailable"))</f>
        <v/>
      </c>
      <c r="K36" s="23" t="str">
        <f aca="false">IF(COUNTIFS(Quotes!$E$5:$E$604,$B36,Quotes!$G$5:$G$604,$C36,Quotes!$H$5:$H$604,$D36,Quotes!$J$5:$J$604,K$4,Quotes!$R$5:$R$604,"&lt;&gt;Unavailable")=0,"",_xlfn.MINIFS(Quotes!$M$5:$M$604,Quotes!$E$5:$E$604,$B36,Quotes!$G$5:$G$604,$C36,Quotes!$H$5:$H$604,$D36,Quotes!$J$5:$J$604,K$4,Quotes!$R$5:$R$604,"&lt;&gt;Unavailable"))</f>
        <v/>
      </c>
      <c r="L36" s="24" t="n">
        <f aca="false">IF(COUNT(E36:K36)=0,"",MIN(E36:K36))</f>
        <v>548.55</v>
      </c>
      <c r="M36" s="25" t="str">
        <f aca="false">IF(L36="","",INDEX($E$4:$K$4,MATCH(L36,E36:K36,0)))</f>
        <v>Helanka</v>
      </c>
      <c r="N36" s="26" t="str">
        <f aca="false">IF(OR(K36="",COUNT(E36:J36)=0),"",K36-MIN(E36:J36))</f>
        <v/>
      </c>
    </row>
    <row r="37" customFormat="false" ht="15" hidden="false" customHeight="false" outlineLevel="0" collapsed="false">
      <c r="A37" s="22" t="s">
        <v>141</v>
      </c>
      <c r="B37" s="22" t="s">
        <v>142</v>
      </c>
      <c r="C37" s="22" t="s">
        <v>150</v>
      </c>
      <c r="D37" s="22" t="s">
        <v>104</v>
      </c>
      <c r="E37" s="23" t="str">
        <f aca="false">IF(COUNTIFS(Quotes!$E$5:$E$604,$B37,Quotes!$G$5:$G$604,$C37,Quotes!$H$5:$H$604,$D37,Quotes!$J$5:$J$604,E$4,Quotes!$R$5:$R$604,"&lt;&gt;Unavailable")=0,"",_xlfn.MINIFS(Quotes!$M$5:$M$604,Quotes!$E$5:$E$604,$B37,Quotes!$G$5:$G$604,$C37,Quotes!$H$5:$H$604,$D37,Quotes!$J$5:$J$604,E$4,Quotes!$R$5:$R$604,"&lt;&gt;Unavailable"))</f>
        <v/>
      </c>
      <c r="F37" s="23" t="str">
        <f aca="false">IF(COUNTIFS(Quotes!$E$5:$E$604,$B37,Quotes!$G$5:$G$604,$C37,Quotes!$H$5:$H$604,$D37,Quotes!$J$5:$J$604,F$4,Quotes!$R$5:$R$604,"&lt;&gt;Unavailable")=0,"",_xlfn.MINIFS(Quotes!$M$5:$M$604,Quotes!$E$5:$E$604,$B37,Quotes!$G$5:$G$604,$C37,Quotes!$H$5:$H$604,$D37,Quotes!$J$5:$J$604,F$4,Quotes!$R$5:$R$604,"&lt;&gt;Unavailable"))</f>
        <v/>
      </c>
      <c r="G37" s="23" t="str">
        <f aca="false">IF(COUNTIFS(Quotes!$E$5:$E$604,$B37,Quotes!$G$5:$G$604,$C37,Quotes!$H$5:$H$604,$D37,Quotes!$J$5:$J$604,G$4,Quotes!$R$5:$R$604,"&lt;&gt;Unavailable")=0,"",_xlfn.MINIFS(Quotes!$M$5:$M$604,Quotes!$E$5:$E$604,$B37,Quotes!$G$5:$G$604,$C37,Quotes!$H$5:$H$604,$D37,Quotes!$J$5:$J$604,G$4,Quotes!$R$5:$R$604,"&lt;&gt;Unavailable"))</f>
        <v/>
      </c>
      <c r="H37" s="23" t="n">
        <f aca="false">IF(COUNTIFS(Quotes!$E$5:$E$604,$B37,Quotes!$G$5:$G$604,$C37,Quotes!$H$5:$H$604,$D37,Quotes!$J$5:$J$604,H$4,Quotes!$R$5:$R$604,"&lt;&gt;Unavailable")=0,"",_xlfn.MINIFS(Quotes!$M$5:$M$604,Quotes!$E$5:$E$604,$B37,Quotes!$G$5:$G$604,$C37,Quotes!$H$5:$H$604,$D37,Quotes!$J$5:$J$604,H$4,Quotes!$R$5:$R$604,"&lt;&gt;Unavailable"))</f>
        <v>550</v>
      </c>
      <c r="I37" s="23" t="str">
        <f aca="false">IF(COUNTIFS(Quotes!$E$5:$E$604,$B37,Quotes!$G$5:$G$604,$C37,Quotes!$H$5:$H$604,$D37,Quotes!$J$5:$J$604,I$4,Quotes!$R$5:$R$604,"&lt;&gt;Unavailable")=0,"",_xlfn.MINIFS(Quotes!$M$5:$M$604,Quotes!$E$5:$E$604,$B37,Quotes!$G$5:$G$604,$C37,Quotes!$H$5:$H$604,$D37,Quotes!$J$5:$J$604,I$4,Quotes!$R$5:$R$604,"&lt;&gt;Unavailable"))</f>
        <v/>
      </c>
      <c r="J37" s="23" t="str">
        <f aca="false">IF(COUNTIFS(Quotes!$E$5:$E$604,$B37,Quotes!$G$5:$G$604,$C37,Quotes!$H$5:$H$604,$D37,Quotes!$J$5:$J$604,J$4,Quotes!$R$5:$R$604,"&lt;&gt;Unavailable")=0,"",_xlfn.MINIFS(Quotes!$M$5:$M$604,Quotes!$E$5:$E$604,$B37,Quotes!$G$5:$G$604,$C37,Quotes!$H$5:$H$604,$D37,Quotes!$J$5:$J$604,J$4,Quotes!$R$5:$R$604,"&lt;&gt;Unavailable"))</f>
        <v/>
      </c>
      <c r="K37" s="23" t="str">
        <f aca="false">IF(COUNTIFS(Quotes!$E$5:$E$604,$B37,Quotes!$G$5:$G$604,$C37,Quotes!$H$5:$H$604,$D37,Quotes!$J$5:$J$604,K$4,Quotes!$R$5:$R$604,"&lt;&gt;Unavailable")=0,"",_xlfn.MINIFS(Quotes!$M$5:$M$604,Quotes!$E$5:$E$604,$B37,Quotes!$G$5:$G$604,$C37,Quotes!$H$5:$H$604,$D37,Quotes!$J$5:$J$604,K$4,Quotes!$R$5:$R$604,"&lt;&gt;Unavailable"))</f>
        <v/>
      </c>
      <c r="L37" s="24" t="n">
        <f aca="false">IF(COUNT(E37:K37)=0,"",MIN(E37:K37))</f>
        <v>550</v>
      </c>
      <c r="M37" s="25" t="str">
        <f aca="false">IF(L37="","",INDEX($E$4:$K$4,MATCH(L37,E37:K37,0)))</f>
        <v>Helanka</v>
      </c>
      <c r="N37" s="26" t="str">
        <f aca="false">IF(OR(K37="",COUNT(E37:J37)=0),"",K37-MIN(E37:J37))</f>
        <v/>
      </c>
    </row>
    <row r="38" customFormat="false" ht="15" hidden="false" customHeight="false" outlineLevel="0" collapsed="false">
      <c r="A38" s="22" t="s">
        <v>141</v>
      </c>
      <c r="B38" s="22" t="s">
        <v>142</v>
      </c>
      <c r="C38" s="22" t="s">
        <v>152</v>
      </c>
      <c r="D38" s="22" t="s">
        <v>104</v>
      </c>
      <c r="E38" s="23" t="str">
        <f aca="false">IF(COUNTIFS(Quotes!$E$5:$E$604,$B38,Quotes!$G$5:$G$604,$C38,Quotes!$H$5:$H$604,$D38,Quotes!$J$5:$J$604,E$4,Quotes!$R$5:$R$604,"&lt;&gt;Unavailable")=0,"",_xlfn.MINIFS(Quotes!$M$5:$M$604,Quotes!$E$5:$E$604,$B38,Quotes!$G$5:$G$604,$C38,Quotes!$H$5:$H$604,$D38,Quotes!$J$5:$J$604,E$4,Quotes!$R$5:$R$604,"&lt;&gt;Unavailable"))</f>
        <v/>
      </c>
      <c r="F38" s="23" t="str">
        <f aca="false">IF(COUNTIFS(Quotes!$E$5:$E$604,$B38,Quotes!$G$5:$G$604,$C38,Quotes!$H$5:$H$604,$D38,Quotes!$J$5:$J$604,F$4,Quotes!$R$5:$R$604,"&lt;&gt;Unavailable")=0,"",_xlfn.MINIFS(Quotes!$M$5:$M$604,Quotes!$E$5:$E$604,$B38,Quotes!$G$5:$G$604,$C38,Quotes!$H$5:$H$604,$D38,Quotes!$J$5:$J$604,F$4,Quotes!$R$5:$R$604,"&lt;&gt;Unavailable"))</f>
        <v/>
      </c>
      <c r="G38" s="23" t="str">
        <f aca="false">IF(COUNTIFS(Quotes!$E$5:$E$604,$B38,Quotes!$G$5:$G$604,$C38,Quotes!$H$5:$H$604,$D38,Quotes!$J$5:$J$604,G$4,Quotes!$R$5:$R$604,"&lt;&gt;Unavailable")=0,"",_xlfn.MINIFS(Quotes!$M$5:$M$604,Quotes!$E$5:$E$604,$B38,Quotes!$G$5:$G$604,$C38,Quotes!$H$5:$H$604,$D38,Quotes!$J$5:$J$604,G$4,Quotes!$R$5:$R$604,"&lt;&gt;Unavailable"))</f>
        <v/>
      </c>
      <c r="H38" s="23" t="n">
        <f aca="false">IF(COUNTIFS(Quotes!$E$5:$E$604,$B38,Quotes!$G$5:$G$604,$C38,Quotes!$H$5:$H$604,$D38,Quotes!$J$5:$J$604,H$4,Quotes!$R$5:$R$604,"&lt;&gt;Unavailable")=0,"",_xlfn.MINIFS(Quotes!$M$5:$M$604,Quotes!$E$5:$E$604,$B38,Quotes!$G$5:$G$604,$C38,Quotes!$H$5:$H$604,$D38,Quotes!$J$5:$J$604,H$4,Quotes!$R$5:$R$604,"&lt;&gt;Unavailable"))</f>
        <v>859.05</v>
      </c>
      <c r="I38" s="23" t="str">
        <f aca="false">IF(COUNTIFS(Quotes!$E$5:$E$604,$B38,Quotes!$G$5:$G$604,$C38,Quotes!$H$5:$H$604,$D38,Quotes!$J$5:$J$604,I$4,Quotes!$R$5:$R$604,"&lt;&gt;Unavailable")=0,"",_xlfn.MINIFS(Quotes!$M$5:$M$604,Quotes!$E$5:$E$604,$B38,Quotes!$G$5:$G$604,$C38,Quotes!$H$5:$H$604,$D38,Quotes!$J$5:$J$604,I$4,Quotes!$R$5:$R$604,"&lt;&gt;Unavailable"))</f>
        <v/>
      </c>
      <c r="J38" s="23" t="str">
        <f aca="false">IF(COUNTIFS(Quotes!$E$5:$E$604,$B38,Quotes!$G$5:$G$604,$C38,Quotes!$H$5:$H$604,$D38,Quotes!$J$5:$J$604,J$4,Quotes!$R$5:$R$604,"&lt;&gt;Unavailable")=0,"",_xlfn.MINIFS(Quotes!$M$5:$M$604,Quotes!$E$5:$E$604,$B38,Quotes!$G$5:$G$604,$C38,Quotes!$H$5:$H$604,$D38,Quotes!$J$5:$J$604,J$4,Quotes!$R$5:$R$604,"&lt;&gt;Unavailable"))</f>
        <v/>
      </c>
      <c r="K38" s="23" t="str">
        <f aca="false">IF(COUNTIFS(Quotes!$E$5:$E$604,$B38,Quotes!$G$5:$G$604,$C38,Quotes!$H$5:$H$604,$D38,Quotes!$J$5:$J$604,K$4,Quotes!$R$5:$R$604,"&lt;&gt;Unavailable")=0,"",_xlfn.MINIFS(Quotes!$M$5:$M$604,Quotes!$E$5:$E$604,$B38,Quotes!$G$5:$G$604,$C38,Quotes!$H$5:$H$604,$D38,Quotes!$J$5:$J$604,K$4,Quotes!$R$5:$R$604,"&lt;&gt;Unavailable"))</f>
        <v/>
      </c>
      <c r="L38" s="24" t="n">
        <f aca="false">IF(COUNT(E38:K38)=0,"",MIN(E38:K38))</f>
        <v>859.05</v>
      </c>
      <c r="M38" s="25" t="str">
        <f aca="false">IF(L38="","",INDEX($E$4:$K$4,MATCH(L38,E38:K38,0)))</f>
        <v>Helanka</v>
      </c>
      <c r="N38" s="26" t="str">
        <f aca="false">IF(OR(K38="",COUNT(E38:J38)=0),"",K38-MIN(E38:J38))</f>
        <v/>
      </c>
    </row>
    <row r="39" customFormat="false" ht="23.85" hidden="false" customHeight="false" outlineLevel="0" collapsed="false">
      <c r="A39" s="22" t="s">
        <v>141</v>
      </c>
      <c r="B39" s="22" t="s">
        <v>142</v>
      </c>
      <c r="C39" s="22" t="s">
        <v>144</v>
      </c>
      <c r="D39" s="22" t="s">
        <v>153</v>
      </c>
      <c r="E39" s="23" t="str">
        <f aca="false">IF(COUNTIFS(Quotes!$E$5:$E$604,$B39,Quotes!$G$5:$G$604,$C39,Quotes!$H$5:$H$604,$D39,Quotes!$J$5:$J$604,E$4,Quotes!$R$5:$R$604,"&lt;&gt;Unavailable")=0,"",_xlfn.MINIFS(Quotes!$M$5:$M$604,Quotes!$E$5:$E$604,$B39,Quotes!$G$5:$G$604,$C39,Quotes!$H$5:$H$604,$D39,Quotes!$J$5:$J$604,E$4,Quotes!$R$5:$R$604,"&lt;&gt;Unavailable"))</f>
        <v/>
      </c>
      <c r="F39" s="23" t="str">
        <f aca="false">IF(COUNTIFS(Quotes!$E$5:$E$604,$B39,Quotes!$G$5:$G$604,$C39,Quotes!$H$5:$H$604,$D39,Quotes!$J$5:$J$604,F$4,Quotes!$R$5:$R$604,"&lt;&gt;Unavailable")=0,"",_xlfn.MINIFS(Quotes!$M$5:$M$604,Quotes!$E$5:$E$604,$B39,Quotes!$G$5:$G$604,$C39,Quotes!$H$5:$H$604,$D39,Quotes!$J$5:$J$604,F$4,Quotes!$R$5:$R$604,"&lt;&gt;Unavailable"))</f>
        <v/>
      </c>
      <c r="G39" s="23" t="str">
        <f aca="false">IF(COUNTIFS(Quotes!$E$5:$E$604,$B39,Quotes!$G$5:$G$604,$C39,Quotes!$H$5:$H$604,$D39,Quotes!$J$5:$J$604,G$4,Quotes!$R$5:$R$604,"&lt;&gt;Unavailable")=0,"",_xlfn.MINIFS(Quotes!$M$5:$M$604,Quotes!$E$5:$E$604,$B39,Quotes!$G$5:$G$604,$C39,Quotes!$H$5:$H$604,$D39,Quotes!$J$5:$J$604,G$4,Quotes!$R$5:$R$604,"&lt;&gt;Unavailable"))</f>
        <v/>
      </c>
      <c r="H39" s="23" t="n">
        <f aca="false">IF(COUNTIFS(Quotes!$E$5:$E$604,$B39,Quotes!$G$5:$G$604,$C39,Quotes!$H$5:$H$604,$D39,Quotes!$J$5:$J$604,H$4,Quotes!$R$5:$R$604,"&lt;&gt;Unavailable")=0,"",_xlfn.MINIFS(Quotes!$M$5:$M$604,Quotes!$E$5:$E$604,$B39,Quotes!$G$5:$G$604,$C39,Quotes!$H$5:$H$604,$D39,Quotes!$J$5:$J$604,H$4,Quotes!$R$5:$R$604,"&lt;&gt;Unavailable"))</f>
        <v>1000</v>
      </c>
      <c r="I39" s="23" t="str">
        <f aca="false">IF(COUNTIFS(Quotes!$E$5:$E$604,$B39,Quotes!$G$5:$G$604,$C39,Quotes!$H$5:$H$604,$D39,Quotes!$J$5:$J$604,I$4,Quotes!$R$5:$R$604,"&lt;&gt;Unavailable")=0,"",_xlfn.MINIFS(Quotes!$M$5:$M$604,Quotes!$E$5:$E$604,$B39,Quotes!$G$5:$G$604,$C39,Quotes!$H$5:$H$604,$D39,Quotes!$J$5:$J$604,I$4,Quotes!$R$5:$R$604,"&lt;&gt;Unavailable"))</f>
        <v/>
      </c>
      <c r="J39" s="23" t="str">
        <f aca="false">IF(COUNTIFS(Quotes!$E$5:$E$604,$B39,Quotes!$G$5:$G$604,$C39,Quotes!$H$5:$H$604,$D39,Quotes!$J$5:$J$604,J$4,Quotes!$R$5:$R$604,"&lt;&gt;Unavailable")=0,"",_xlfn.MINIFS(Quotes!$M$5:$M$604,Quotes!$E$5:$E$604,$B39,Quotes!$G$5:$G$604,$C39,Quotes!$H$5:$H$604,$D39,Quotes!$J$5:$J$604,J$4,Quotes!$R$5:$R$604,"&lt;&gt;Unavailable"))</f>
        <v/>
      </c>
      <c r="K39" s="23" t="str">
        <f aca="false">IF(COUNTIFS(Quotes!$E$5:$E$604,$B39,Quotes!$G$5:$G$604,$C39,Quotes!$H$5:$H$604,$D39,Quotes!$J$5:$J$604,K$4,Quotes!$R$5:$R$604,"&lt;&gt;Unavailable")=0,"",_xlfn.MINIFS(Quotes!$M$5:$M$604,Quotes!$E$5:$E$604,$B39,Quotes!$G$5:$G$604,$C39,Quotes!$H$5:$H$604,$D39,Quotes!$J$5:$J$604,K$4,Quotes!$R$5:$R$604,"&lt;&gt;Unavailable"))</f>
        <v/>
      </c>
      <c r="L39" s="24" t="n">
        <f aca="false">IF(COUNT(E39:K39)=0,"",MIN(E39:K39))</f>
        <v>1000</v>
      </c>
      <c r="M39" s="25" t="str">
        <f aca="false">IF(L39="","",INDEX($E$4:$K$4,MATCH(L39,E39:K39,0)))</f>
        <v>Helanka</v>
      </c>
      <c r="N39" s="26" t="str">
        <f aca="false">IF(OR(K39="",COUNT(E39:J39)=0),"",K39-MIN(E39:J39))</f>
        <v/>
      </c>
    </row>
    <row r="40" customFormat="false" ht="15" hidden="false" customHeight="false" outlineLevel="0" collapsed="false">
      <c r="A40" s="22" t="s">
        <v>141</v>
      </c>
      <c r="B40" s="22" t="s">
        <v>142</v>
      </c>
      <c r="C40" s="22" t="s">
        <v>154</v>
      </c>
      <c r="D40" s="22" t="s">
        <v>104</v>
      </c>
      <c r="E40" s="23" t="str">
        <f aca="false">IF(COUNTIFS(Quotes!$E$5:$E$604,$B40,Quotes!$G$5:$G$604,$C40,Quotes!$H$5:$H$604,$D40,Quotes!$J$5:$J$604,E$4,Quotes!$R$5:$R$604,"&lt;&gt;Unavailable")=0,"",_xlfn.MINIFS(Quotes!$M$5:$M$604,Quotes!$E$5:$E$604,$B40,Quotes!$G$5:$G$604,$C40,Quotes!$H$5:$H$604,$D40,Quotes!$J$5:$J$604,E$4,Quotes!$R$5:$R$604,"&lt;&gt;Unavailable"))</f>
        <v/>
      </c>
      <c r="F40" s="23" t="str">
        <f aca="false">IF(COUNTIFS(Quotes!$E$5:$E$604,$B40,Quotes!$G$5:$G$604,$C40,Quotes!$H$5:$H$604,$D40,Quotes!$J$5:$J$604,F$4,Quotes!$R$5:$R$604,"&lt;&gt;Unavailable")=0,"",_xlfn.MINIFS(Quotes!$M$5:$M$604,Quotes!$E$5:$E$604,$B40,Quotes!$G$5:$G$604,$C40,Quotes!$H$5:$H$604,$D40,Quotes!$J$5:$J$604,F$4,Quotes!$R$5:$R$604,"&lt;&gt;Unavailable"))</f>
        <v/>
      </c>
      <c r="G40" s="23" t="str">
        <f aca="false">IF(COUNTIFS(Quotes!$E$5:$E$604,$B40,Quotes!$G$5:$G$604,$C40,Quotes!$H$5:$H$604,$D40,Quotes!$J$5:$J$604,G$4,Quotes!$R$5:$R$604,"&lt;&gt;Unavailable")=0,"",_xlfn.MINIFS(Quotes!$M$5:$M$604,Quotes!$E$5:$E$604,$B40,Quotes!$G$5:$G$604,$C40,Quotes!$H$5:$H$604,$D40,Quotes!$J$5:$J$604,G$4,Quotes!$R$5:$R$604,"&lt;&gt;Unavailable"))</f>
        <v/>
      </c>
      <c r="H40" s="23" t="n">
        <f aca="false">IF(COUNTIFS(Quotes!$E$5:$E$604,$B40,Quotes!$G$5:$G$604,$C40,Quotes!$H$5:$H$604,$D40,Quotes!$J$5:$J$604,H$4,Quotes!$R$5:$R$604,"&lt;&gt;Unavailable")=0,"",_xlfn.MINIFS(Quotes!$M$5:$M$604,Quotes!$E$5:$E$604,$B40,Quotes!$G$5:$G$604,$C40,Quotes!$H$5:$H$604,$D40,Quotes!$J$5:$J$604,H$4,Quotes!$R$5:$R$604,"&lt;&gt;Unavailable"))</f>
        <v>838.35</v>
      </c>
      <c r="I40" s="23" t="n">
        <f aca="false">IF(COUNTIFS(Quotes!$E$5:$E$604,$B40,Quotes!$G$5:$G$604,$C40,Quotes!$H$5:$H$604,$D40,Quotes!$J$5:$J$604,I$4,Quotes!$R$5:$R$604,"&lt;&gt;Unavailable")=0,"",_xlfn.MINIFS(Quotes!$M$5:$M$604,Quotes!$E$5:$E$604,$B40,Quotes!$G$5:$G$604,$C40,Quotes!$H$5:$H$604,$D40,Quotes!$J$5:$J$604,I$4,Quotes!$R$5:$R$604,"&lt;&gt;Unavailable"))</f>
        <v>1095</v>
      </c>
      <c r="J40" s="23" t="str">
        <f aca="false">IF(COUNTIFS(Quotes!$E$5:$E$604,$B40,Quotes!$G$5:$G$604,$C40,Quotes!$H$5:$H$604,$D40,Quotes!$J$5:$J$604,J$4,Quotes!$R$5:$R$604,"&lt;&gt;Unavailable")=0,"",_xlfn.MINIFS(Quotes!$M$5:$M$604,Quotes!$E$5:$E$604,$B40,Quotes!$G$5:$G$604,$C40,Quotes!$H$5:$H$604,$D40,Quotes!$J$5:$J$604,J$4,Quotes!$R$5:$R$604,"&lt;&gt;Unavailable"))</f>
        <v/>
      </c>
      <c r="K40" s="23" t="str">
        <f aca="false">IF(COUNTIFS(Quotes!$E$5:$E$604,$B40,Quotes!$G$5:$G$604,$C40,Quotes!$H$5:$H$604,$D40,Quotes!$J$5:$J$604,K$4,Quotes!$R$5:$R$604,"&lt;&gt;Unavailable")=0,"",_xlfn.MINIFS(Quotes!$M$5:$M$604,Quotes!$E$5:$E$604,$B40,Quotes!$G$5:$G$604,$C40,Quotes!$H$5:$H$604,$D40,Quotes!$J$5:$J$604,K$4,Quotes!$R$5:$R$604,"&lt;&gt;Unavailable"))</f>
        <v/>
      </c>
      <c r="L40" s="24" t="n">
        <f aca="false">IF(COUNT(E40:K40)=0,"",MIN(E40:K40))</f>
        <v>838.35</v>
      </c>
      <c r="M40" s="25" t="str">
        <f aca="false">IF(L40="","",INDEX($E$4:$K$4,MATCH(L40,E40:K40,0)))</f>
        <v>Helanka</v>
      </c>
      <c r="N40" s="26" t="str">
        <f aca="false">IF(OR(K40="",COUNT(E40:J40)=0),"",K40-MIN(E40:J40))</f>
        <v/>
      </c>
    </row>
    <row r="41" customFormat="false" ht="15" hidden="false" customHeight="false" outlineLevel="0" collapsed="false">
      <c r="A41" s="22" t="s">
        <v>141</v>
      </c>
      <c r="B41" s="22" t="s">
        <v>142</v>
      </c>
      <c r="C41" s="22" t="s">
        <v>155</v>
      </c>
      <c r="D41" s="22" t="s">
        <v>104</v>
      </c>
      <c r="E41" s="23" t="str">
        <f aca="false">IF(COUNTIFS(Quotes!$E$5:$E$604,$B41,Quotes!$G$5:$G$604,$C41,Quotes!$H$5:$H$604,$D41,Quotes!$J$5:$J$604,E$4,Quotes!$R$5:$R$604,"&lt;&gt;Unavailable")=0,"",_xlfn.MINIFS(Quotes!$M$5:$M$604,Quotes!$E$5:$E$604,$B41,Quotes!$G$5:$G$604,$C41,Quotes!$H$5:$H$604,$D41,Quotes!$J$5:$J$604,E$4,Quotes!$R$5:$R$604,"&lt;&gt;Unavailable"))</f>
        <v/>
      </c>
      <c r="F41" s="23" t="str">
        <f aca="false">IF(COUNTIFS(Quotes!$E$5:$E$604,$B41,Quotes!$G$5:$G$604,$C41,Quotes!$H$5:$H$604,$D41,Quotes!$J$5:$J$604,F$4,Quotes!$R$5:$R$604,"&lt;&gt;Unavailable")=0,"",_xlfn.MINIFS(Quotes!$M$5:$M$604,Quotes!$E$5:$E$604,$B41,Quotes!$G$5:$G$604,$C41,Quotes!$H$5:$H$604,$D41,Quotes!$J$5:$J$604,F$4,Quotes!$R$5:$R$604,"&lt;&gt;Unavailable"))</f>
        <v/>
      </c>
      <c r="G41" s="23" t="str">
        <f aca="false">IF(COUNTIFS(Quotes!$E$5:$E$604,$B41,Quotes!$G$5:$G$604,$C41,Quotes!$H$5:$H$604,$D41,Quotes!$J$5:$J$604,G$4,Quotes!$R$5:$R$604,"&lt;&gt;Unavailable")=0,"",_xlfn.MINIFS(Quotes!$M$5:$M$604,Quotes!$E$5:$E$604,$B41,Quotes!$G$5:$G$604,$C41,Quotes!$H$5:$H$604,$D41,Quotes!$J$5:$J$604,G$4,Quotes!$R$5:$R$604,"&lt;&gt;Unavailable"))</f>
        <v/>
      </c>
      <c r="H41" s="23" t="n">
        <f aca="false">IF(COUNTIFS(Quotes!$E$5:$E$604,$B41,Quotes!$G$5:$G$604,$C41,Quotes!$H$5:$H$604,$D41,Quotes!$J$5:$J$604,H$4,Quotes!$R$5:$R$604,"&lt;&gt;Unavailable")=0,"",_xlfn.MINIFS(Quotes!$M$5:$M$604,Quotes!$E$5:$E$604,$B41,Quotes!$G$5:$G$604,$C41,Quotes!$H$5:$H$604,$D41,Quotes!$J$5:$J$604,H$4,Quotes!$R$5:$R$604,"&lt;&gt;Unavailable"))</f>
        <v>859.05</v>
      </c>
      <c r="I41" s="23" t="n">
        <f aca="false">IF(COUNTIFS(Quotes!$E$5:$E$604,$B41,Quotes!$G$5:$G$604,$C41,Quotes!$H$5:$H$604,$D41,Quotes!$J$5:$J$604,I$4,Quotes!$R$5:$R$604,"&lt;&gt;Unavailable")=0,"",_xlfn.MINIFS(Quotes!$M$5:$M$604,Quotes!$E$5:$E$604,$B41,Quotes!$G$5:$G$604,$C41,Quotes!$H$5:$H$604,$D41,Quotes!$J$5:$J$604,I$4,Quotes!$R$5:$R$604,"&lt;&gt;Unavailable"))</f>
        <v>1095</v>
      </c>
      <c r="J41" s="23" t="str">
        <f aca="false">IF(COUNTIFS(Quotes!$E$5:$E$604,$B41,Quotes!$G$5:$G$604,$C41,Quotes!$H$5:$H$604,$D41,Quotes!$J$5:$J$604,J$4,Quotes!$R$5:$R$604,"&lt;&gt;Unavailable")=0,"",_xlfn.MINIFS(Quotes!$M$5:$M$604,Quotes!$E$5:$E$604,$B41,Quotes!$G$5:$G$604,$C41,Quotes!$H$5:$H$604,$D41,Quotes!$J$5:$J$604,J$4,Quotes!$R$5:$R$604,"&lt;&gt;Unavailable"))</f>
        <v/>
      </c>
      <c r="K41" s="23" t="str">
        <f aca="false">IF(COUNTIFS(Quotes!$E$5:$E$604,$B41,Quotes!$G$5:$G$604,$C41,Quotes!$H$5:$H$604,$D41,Quotes!$J$5:$J$604,K$4,Quotes!$R$5:$R$604,"&lt;&gt;Unavailable")=0,"",_xlfn.MINIFS(Quotes!$M$5:$M$604,Quotes!$E$5:$E$604,$B41,Quotes!$G$5:$G$604,$C41,Quotes!$H$5:$H$604,$D41,Quotes!$J$5:$J$604,K$4,Quotes!$R$5:$R$604,"&lt;&gt;Unavailable"))</f>
        <v/>
      </c>
      <c r="L41" s="24" t="n">
        <f aca="false">IF(COUNT(E41:K41)=0,"",MIN(E41:K41))</f>
        <v>859.05</v>
      </c>
      <c r="M41" s="25" t="str">
        <f aca="false">IF(L41="","",INDEX($E$4:$K$4,MATCH(L41,E41:K41,0)))</f>
        <v>Helanka</v>
      </c>
      <c r="N41" s="26" t="str">
        <f aca="false">IF(OR(K41="",COUNT(E41:J41)=0),"",K41-MIN(E41:J41))</f>
        <v/>
      </c>
    </row>
    <row r="42" customFormat="false" ht="23.85" hidden="false" customHeight="false" outlineLevel="0" collapsed="false">
      <c r="A42" s="22" t="s">
        <v>141</v>
      </c>
      <c r="B42" s="22" t="s">
        <v>142</v>
      </c>
      <c r="C42" s="22" t="s">
        <v>156</v>
      </c>
      <c r="D42" s="22" t="s">
        <v>104</v>
      </c>
      <c r="E42" s="23" t="str">
        <f aca="false">IF(COUNTIFS(Quotes!$E$5:$E$604,$B42,Quotes!$G$5:$G$604,$C42,Quotes!$H$5:$H$604,$D42,Quotes!$J$5:$J$604,E$4,Quotes!$R$5:$R$604,"&lt;&gt;Unavailable")=0,"",_xlfn.MINIFS(Quotes!$M$5:$M$604,Quotes!$E$5:$E$604,$B42,Quotes!$G$5:$G$604,$C42,Quotes!$H$5:$H$604,$D42,Quotes!$J$5:$J$604,E$4,Quotes!$R$5:$R$604,"&lt;&gt;Unavailable"))</f>
        <v/>
      </c>
      <c r="F42" s="23" t="str">
        <f aca="false">IF(COUNTIFS(Quotes!$E$5:$E$604,$B42,Quotes!$G$5:$G$604,$C42,Quotes!$H$5:$H$604,$D42,Quotes!$J$5:$J$604,F$4,Quotes!$R$5:$R$604,"&lt;&gt;Unavailable")=0,"",_xlfn.MINIFS(Quotes!$M$5:$M$604,Quotes!$E$5:$E$604,$B42,Quotes!$G$5:$G$604,$C42,Quotes!$H$5:$H$604,$D42,Quotes!$J$5:$J$604,F$4,Quotes!$R$5:$R$604,"&lt;&gt;Unavailable"))</f>
        <v/>
      </c>
      <c r="G42" s="23" t="str">
        <f aca="false">IF(COUNTIFS(Quotes!$E$5:$E$604,$B42,Quotes!$G$5:$G$604,$C42,Quotes!$H$5:$H$604,$D42,Quotes!$J$5:$J$604,G$4,Quotes!$R$5:$R$604,"&lt;&gt;Unavailable")=0,"",_xlfn.MINIFS(Quotes!$M$5:$M$604,Quotes!$E$5:$E$604,$B42,Quotes!$G$5:$G$604,$C42,Quotes!$H$5:$H$604,$D42,Quotes!$J$5:$J$604,G$4,Quotes!$R$5:$R$604,"&lt;&gt;Unavailable"))</f>
        <v/>
      </c>
      <c r="H42" s="23" t="n">
        <f aca="false">IF(COUNTIFS(Quotes!$E$5:$E$604,$B42,Quotes!$G$5:$G$604,$C42,Quotes!$H$5:$H$604,$D42,Quotes!$J$5:$J$604,H$4,Quotes!$R$5:$R$604,"&lt;&gt;Unavailable")=0,"",_xlfn.MINIFS(Quotes!$M$5:$M$604,Quotes!$E$5:$E$604,$B42,Quotes!$G$5:$G$604,$C42,Quotes!$H$5:$H$604,$D42,Quotes!$J$5:$J$604,H$4,Quotes!$R$5:$R$604,"&lt;&gt;Unavailable"))</f>
        <v>724.5</v>
      </c>
      <c r="I42" s="23" t="n">
        <f aca="false">IF(COUNTIFS(Quotes!$E$5:$E$604,$B42,Quotes!$G$5:$G$604,$C42,Quotes!$H$5:$H$604,$D42,Quotes!$J$5:$J$604,I$4,Quotes!$R$5:$R$604,"&lt;&gt;Unavailable")=0,"",_xlfn.MINIFS(Quotes!$M$5:$M$604,Quotes!$E$5:$E$604,$B42,Quotes!$G$5:$G$604,$C42,Quotes!$H$5:$H$604,$D42,Quotes!$J$5:$J$604,I$4,Quotes!$R$5:$R$604,"&lt;&gt;Unavailable"))</f>
        <v>1007</v>
      </c>
      <c r="J42" s="23" t="str">
        <f aca="false">IF(COUNTIFS(Quotes!$E$5:$E$604,$B42,Quotes!$G$5:$G$604,$C42,Quotes!$H$5:$H$604,$D42,Quotes!$J$5:$J$604,J$4,Quotes!$R$5:$R$604,"&lt;&gt;Unavailable")=0,"",_xlfn.MINIFS(Quotes!$M$5:$M$604,Quotes!$E$5:$E$604,$B42,Quotes!$G$5:$G$604,$C42,Quotes!$H$5:$H$604,$D42,Quotes!$J$5:$J$604,J$4,Quotes!$R$5:$R$604,"&lt;&gt;Unavailable"))</f>
        <v/>
      </c>
      <c r="K42" s="23" t="str">
        <f aca="false">IF(COUNTIFS(Quotes!$E$5:$E$604,$B42,Quotes!$G$5:$G$604,$C42,Quotes!$H$5:$H$604,$D42,Quotes!$J$5:$J$604,K$4,Quotes!$R$5:$R$604,"&lt;&gt;Unavailable")=0,"",_xlfn.MINIFS(Quotes!$M$5:$M$604,Quotes!$E$5:$E$604,$B42,Quotes!$G$5:$G$604,$C42,Quotes!$H$5:$H$604,$D42,Quotes!$J$5:$J$604,K$4,Quotes!$R$5:$R$604,"&lt;&gt;Unavailable"))</f>
        <v/>
      </c>
      <c r="L42" s="24" t="n">
        <f aca="false">IF(COUNT(E42:K42)=0,"",MIN(E42:K42))</f>
        <v>724.5</v>
      </c>
      <c r="M42" s="25" t="str">
        <f aca="false">IF(L42="","",INDEX($E$4:$K$4,MATCH(L42,E42:K42,0)))</f>
        <v>Helanka</v>
      </c>
      <c r="N42" s="26" t="str">
        <f aca="false">IF(OR(K42="",COUNT(E42:J42)=0),"",K42-MIN(E42:J42))</f>
        <v/>
      </c>
    </row>
    <row r="43" customFormat="false" ht="23.85" hidden="false" customHeight="false" outlineLevel="0" collapsed="false">
      <c r="A43" s="22" t="s">
        <v>141</v>
      </c>
      <c r="B43" s="22" t="s">
        <v>142</v>
      </c>
      <c r="C43" s="22" t="s">
        <v>157</v>
      </c>
      <c r="D43" s="22" t="s">
        <v>104</v>
      </c>
      <c r="E43" s="23" t="str">
        <f aca="false">IF(COUNTIFS(Quotes!$E$5:$E$604,$B43,Quotes!$G$5:$G$604,$C43,Quotes!$H$5:$H$604,$D43,Quotes!$J$5:$J$604,E$4,Quotes!$R$5:$R$604,"&lt;&gt;Unavailable")=0,"",_xlfn.MINIFS(Quotes!$M$5:$M$604,Quotes!$E$5:$E$604,$B43,Quotes!$G$5:$G$604,$C43,Quotes!$H$5:$H$604,$D43,Quotes!$J$5:$J$604,E$4,Quotes!$R$5:$R$604,"&lt;&gt;Unavailable"))</f>
        <v/>
      </c>
      <c r="F43" s="23" t="str">
        <f aca="false">IF(COUNTIFS(Quotes!$E$5:$E$604,$B43,Quotes!$G$5:$G$604,$C43,Quotes!$H$5:$H$604,$D43,Quotes!$J$5:$J$604,F$4,Quotes!$R$5:$R$604,"&lt;&gt;Unavailable")=0,"",_xlfn.MINIFS(Quotes!$M$5:$M$604,Quotes!$E$5:$E$604,$B43,Quotes!$G$5:$G$604,$C43,Quotes!$H$5:$H$604,$D43,Quotes!$J$5:$J$604,F$4,Quotes!$R$5:$R$604,"&lt;&gt;Unavailable"))</f>
        <v/>
      </c>
      <c r="G43" s="23" t="str">
        <f aca="false">IF(COUNTIFS(Quotes!$E$5:$E$604,$B43,Quotes!$G$5:$G$604,$C43,Quotes!$H$5:$H$604,$D43,Quotes!$J$5:$J$604,G$4,Quotes!$R$5:$R$604,"&lt;&gt;Unavailable")=0,"",_xlfn.MINIFS(Quotes!$M$5:$M$604,Quotes!$E$5:$E$604,$B43,Quotes!$G$5:$G$604,$C43,Quotes!$H$5:$H$604,$D43,Quotes!$J$5:$J$604,G$4,Quotes!$R$5:$R$604,"&lt;&gt;Unavailable"))</f>
        <v/>
      </c>
      <c r="H43" s="23" t="n">
        <f aca="false">IF(COUNTIFS(Quotes!$E$5:$E$604,$B43,Quotes!$G$5:$G$604,$C43,Quotes!$H$5:$H$604,$D43,Quotes!$J$5:$J$604,H$4,Quotes!$R$5:$R$604,"&lt;&gt;Unavailable")=0,"",_xlfn.MINIFS(Quotes!$M$5:$M$604,Quotes!$E$5:$E$604,$B43,Quotes!$G$5:$G$604,$C43,Quotes!$H$5:$H$604,$D43,Quotes!$J$5:$J$604,H$4,Quotes!$R$5:$R$604,"&lt;&gt;Unavailable"))</f>
        <v>745.2</v>
      </c>
      <c r="I43" s="23" t="n">
        <f aca="false">IF(COUNTIFS(Quotes!$E$5:$E$604,$B43,Quotes!$G$5:$G$604,$C43,Quotes!$H$5:$H$604,$D43,Quotes!$J$5:$J$604,I$4,Quotes!$R$5:$R$604,"&lt;&gt;Unavailable")=0,"",_xlfn.MINIFS(Quotes!$M$5:$M$604,Quotes!$E$5:$E$604,$B43,Quotes!$G$5:$G$604,$C43,Quotes!$H$5:$H$604,$D43,Quotes!$J$5:$J$604,I$4,Quotes!$R$5:$R$604,"&lt;&gt;Unavailable"))</f>
        <v>1120</v>
      </c>
      <c r="J43" s="23" t="str">
        <f aca="false">IF(COUNTIFS(Quotes!$E$5:$E$604,$B43,Quotes!$G$5:$G$604,$C43,Quotes!$H$5:$H$604,$D43,Quotes!$J$5:$J$604,J$4,Quotes!$R$5:$R$604,"&lt;&gt;Unavailable")=0,"",_xlfn.MINIFS(Quotes!$M$5:$M$604,Quotes!$E$5:$E$604,$B43,Quotes!$G$5:$G$604,$C43,Quotes!$H$5:$H$604,$D43,Quotes!$J$5:$J$604,J$4,Quotes!$R$5:$R$604,"&lt;&gt;Unavailable"))</f>
        <v/>
      </c>
      <c r="K43" s="23" t="str">
        <f aca="false">IF(COUNTIFS(Quotes!$E$5:$E$604,$B43,Quotes!$G$5:$G$604,$C43,Quotes!$H$5:$H$604,$D43,Quotes!$J$5:$J$604,K$4,Quotes!$R$5:$R$604,"&lt;&gt;Unavailable")=0,"",_xlfn.MINIFS(Quotes!$M$5:$M$604,Quotes!$E$5:$E$604,$B43,Quotes!$G$5:$G$604,$C43,Quotes!$H$5:$H$604,$D43,Quotes!$J$5:$J$604,K$4,Quotes!$R$5:$R$604,"&lt;&gt;Unavailable"))</f>
        <v/>
      </c>
      <c r="L43" s="24" t="n">
        <f aca="false">IF(COUNT(E43:K43)=0,"",MIN(E43:K43))</f>
        <v>745.2</v>
      </c>
      <c r="M43" s="25" t="str">
        <f aca="false">IF(L43="","",INDEX($E$4:$K$4,MATCH(L43,E43:K43,0)))</f>
        <v>Helanka</v>
      </c>
      <c r="N43" s="26" t="str">
        <f aca="false">IF(OR(K43="",COUNT(E43:J43)=0),"",K43-MIN(E43:J43))</f>
        <v/>
      </c>
    </row>
    <row r="44" customFormat="false" ht="15" hidden="false" customHeight="false" outlineLevel="0" collapsed="false">
      <c r="A44" s="22" t="s">
        <v>141</v>
      </c>
      <c r="B44" s="22" t="s">
        <v>158</v>
      </c>
      <c r="C44" s="22" t="s">
        <v>159</v>
      </c>
      <c r="D44" s="22" t="s">
        <v>75</v>
      </c>
      <c r="E44" s="23" t="n">
        <f aca="false">IF(COUNTIFS(Quotes!$E$5:$E$604,$B44,Quotes!$G$5:$G$604,$C44,Quotes!$H$5:$H$604,$D44,Quotes!$J$5:$J$604,E$4,Quotes!$R$5:$R$604,"&lt;&gt;Unavailable")=0,"",_xlfn.MINIFS(Quotes!$M$5:$M$604,Quotes!$E$5:$E$604,$B44,Quotes!$G$5:$G$604,$C44,Quotes!$H$5:$H$604,$D44,Quotes!$J$5:$J$604,E$4,Quotes!$R$5:$R$604,"&lt;&gt;Unavailable"))</f>
        <v>855.227995758219</v>
      </c>
      <c r="F44" s="23" t="str">
        <f aca="false">IF(COUNTIFS(Quotes!$E$5:$E$604,$B44,Quotes!$G$5:$G$604,$C44,Quotes!$H$5:$H$604,$D44,Quotes!$J$5:$J$604,F$4,Quotes!$R$5:$R$604,"&lt;&gt;Unavailable")=0,"",_xlfn.MINIFS(Quotes!$M$5:$M$604,Quotes!$E$5:$E$604,$B44,Quotes!$G$5:$G$604,$C44,Quotes!$H$5:$H$604,$D44,Quotes!$J$5:$J$604,F$4,Quotes!$R$5:$R$604,"&lt;&gt;Unavailable"))</f>
        <v/>
      </c>
      <c r="G44" s="23" t="str">
        <f aca="false">IF(COUNTIFS(Quotes!$E$5:$E$604,$B44,Quotes!$G$5:$G$604,$C44,Quotes!$H$5:$H$604,$D44,Quotes!$J$5:$J$604,G$4,Quotes!$R$5:$R$604,"&lt;&gt;Unavailable")=0,"",_xlfn.MINIFS(Quotes!$M$5:$M$604,Quotes!$E$5:$E$604,$B44,Quotes!$G$5:$G$604,$C44,Quotes!$H$5:$H$604,$D44,Quotes!$J$5:$J$604,G$4,Quotes!$R$5:$R$604,"&lt;&gt;Unavailable"))</f>
        <v/>
      </c>
      <c r="H44" s="23" t="str">
        <f aca="false">IF(COUNTIFS(Quotes!$E$5:$E$604,$B44,Quotes!$G$5:$G$604,$C44,Quotes!$H$5:$H$604,$D44,Quotes!$J$5:$J$604,H$4,Quotes!$R$5:$R$604,"&lt;&gt;Unavailable")=0,"",_xlfn.MINIFS(Quotes!$M$5:$M$604,Quotes!$E$5:$E$604,$B44,Quotes!$G$5:$G$604,$C44,Quotes!$H$5:$H$604,$D44,Quotes!$J$5:$J$604,H$4,Quotes!$R$5:$R$604,"&lt;&gt;Unavailable"))</f>
        <v/>
      </c>
      <c r="I44" s="23" t="str">
        <f aca="false">IF(COUNTIFS(Quotes!$E$5:$E$604,$B44,Quotes!$G$5:$G$604,$C44,Quotes!$H$5:$H$604,$D44,Quotes!$J$5:$J$604,I$4,Quotes!$R$5:$R$604,"&lt;&gt;Unavailable")=0,"",_xlfn.MINIFS(Quotes!$M$5:$M$604,Quotes!$E$5:$E$604,$B44,Quotes!$G$5:$G$604,$C44,Quotes!$H$5:$H$604,$D44,Quotes!$J$5:$J$604,I$4,Quotes!$R$5:$R$604,"&lt;&gt;Unavailable"))</f>
        <v/>
      </c>
      <c r="J44" s="23" t="str">
        <f aca="false">IF(COUNTIFS(Quotes!$E$5:$E$604,$B44,Quotes!$G$5:$G$604,$C44,Quotes!$H$5:$H$604,$D44,Quotes!$J$5:$J$604,J$4,Quotes!$R$5:$R$604,"&lt;&gt;Unavailable")=0,"",_xlfn.MINIFS(Quotes!$M$5:$M$604,Quotes!$E$5:$E$604,$B44,Quotes!$G$5:$G$604,$C44,Quotes!$H$5:$H$604,$D44,Quotes!$J$5:$J$604,J$4,Quotes!$R$5:$R$604,"&lt;&gt;Unavailable"))</f>
        <v/>
      </c>
      <c r="K44" s="23" t="n">
        <f aca="false">IF(COUNTIFS(Quotes!$E$5:$E$604,$B44,Quotes!$G$5:$G$604,$C44,Quotes!$H$5:$H$604,$D44,Quotes!$J$5:$J$604,K$4,Quotes!$R$5:$R$604,"&lt;&gt;Unavailable")=0,"",_xlfn.MINIFS(Quotes!$M$5:$M$604,Quotes!$E$5:$E$604,$B44,Quotes!$G$5:$G$604,$C44,Quotes!$H$5:$H$604,$D44,Quotes!$J$5:$J$604,K$4,Quotes!$R$5:$R$604,"&lt;&gt;Unavailable"))</f>
        <v>875.132555673383</v>
      </c>
      <c r="L44" s="24" t="n">
        <f aca="false">IF(COUNT(E44:K44)=0,"",MIN(E44:K44))</f>
        <v>855.227995758219</v>
      </c>
      <c r="M44" s="25" t="str">
        <f aca="false">IF(L44="","",INDEX($E$4:$K$4,MATCH(L44,E44:K44,0)))</f>
        <v>Ottila</v>
      </c>
      <c r="N44" s="26" t="n">
        <f aca="false">IF(OR(K44="",COUNT(E44:J44)=0),"",K44-MIN(E44:J44))</f>
        <v>19.9045599151643</v>
      </c>
    </row>
    <row r="45" customFormat="false" ht="35.05" hidden="false" customHeight="false" outlineLevel="0" collapsed="false">
      <c r="A45" s="22" t="s">
        <v>141</v>
      </c>
      <c r="B45" s="22" t="s">
        <v>160</v>
      </c>
      <c r="C45" s="22" t="s">
        <v>161</v>
      </c>
      <c r="D45" s="22" t="s">
        <v>104</v>
      </c>
      <c r="E45" s="23" t="n">
        <f aca="false">IF(COUNTIFS(Quotes!$E$5:$E$604,$B45,Quotes!$G$5:$G$604,$C45,Quotes!$H$5:$H$604,$D45,Quotes!$J$5:$J$604,E$4,Quotes!$R$5:$R$604,"&lt;&gt;Unavailable")=0,"",_xlfn.MINIFS(Quotes!$M$5:$M$604,Quotes!$E$5:$E$604,$B45,Quotes!$G$5:$G$604,$C45,Quotes!$H$5:$H$604,$D45,Quotes!$J$5:$J$604,E$4,Quotes!$R$5:$R$604,"&lt;&gt;Unavailable"))</f>
        <v>1007.35949098621</v>
      </c>
      <c r="F45" s="23" t="str">
        <f aca="false">IF(COUNTIFS(Quotes!$E$5:$E$604,$B45,Quotes!$G$5:$G$604,$C45,Quotes!$H$5:$H$604,$D45,Quotes!$J$5:$J$604,F$4,Quotes!$R$5:$R$604,"&lt;&gt;Unavailable")=0,"",_xlfn.MINIFS(Quotes!$M$5:$M$604,Quotes!$E$5:$E$604,$B45,Quotes!$G$5:$G$604,$C45,Quotes!$H$5:$H$604,$D45,Quotes!$J$5:$J$604,F$4,Quotes!$R$5:$R$604,"&lt;&gt;Unavailable"))</f>
        <v/>
      </c>
      <c r="G45" s="23" t="str">
        <f aca="false">IF(COUNTIFS(Quotes!$E$5:$E$604,$B45,Quotes!$G$5:$G$604,$C45,Quotes!$H$5:$H$604,$D45,Quotes!$J$5:$J$604,G$4,Quotes!$R$5:$R$604,"&lt;&gt;Unavailable")=0,"",_xlfn.MINIFS(Quotes!$M$5:$M$604,Quotes!$E$5:$E$604,$B45,Quotes!$G$5:$G$604,$C45,Quotes!$H$5:$H$604,$D45,Quotes!$J$5:$J$604,G$4,Quotes!$R$5:$R$604,"&lt;&gt;Unavailable"))</f>
        <v/>
      </c>
      <c r="H45" s="23" t="str">
        <f aca="false">IF(COUNTIFS(Quotes!$E$5:$E$604,$B45,Quotes!$G$5:$G$604,$C45,Quotes!$H$5:$H$604,$D45,Quotes!$J$5:$J$604,H$4,Quotes!$R$5:$R$604,"&lt;&gt;Unavailable")=0,"",_xlfn.MINIFS(Quotes!$M$5:$M$604,Quotes!$E$5:$E$604,$B45,Quotes!$G$5:$G$604,$C45,Quotes!$H$5:$H$604,$D45,Quotes!$J$5:$J$604,H$4,Quotes!$R$5:$R$604,"&lt;&gt;Unavailable"))</f>
        <v/>
      </c>
      <c r="I45" s="23" t="str">
        <f aca="false">IF(COUNTIFS(Quotes!$E$5:$E$604,$B45,Quotes!$G$5:$G$604,$C45,Quotes!$H$5:$H$604,$D45,Quotes!$J$5:$J$604,I$4,Quotes!$R$5:$R$604,"&lt;&gt;Unavailable")=0,"",_xlfn.MINIFS(Quotes!$M$5:$M$604,Quotes!$E$5:$E$604,$B45,Quotes!$G$5:$G$604,$C45,Quotes!$H$5:$H$604,$D45,Quotes!$J$5:$J$604,I$4,Quotes!$R$5:$R$604,"&lt;&gt;Unavailable"))</f>
        <v/>
      </c>
      <c r="J45" s="23" t="str">
        <f aca="false">IF(COUNTIFS(Quotes!$E$5:$E$604,$B45,Quotes!$G$5:$G$604,$C45,Quotes!$H$5:$H$604,$D45,Quotes!$J$5:$J$604,J$4,Quotes!$R$5:$R$604,"&lt;&gt;Unavailable")=0,"",_xlfn.MINIFS(Quotes!$M$5:$M$604,Quotes!$E$5:$E$604,$B45,Quotes!$G$5:$G$604,$C45,Quotes!$H$5:$H$604,$D45,Quotes!$J$5:$J$604,J$4,Quotes!$R$5:$R$604,"&lt;&gt;Unavailable"))</f>
        <v/>
      </c>
      <c r="K45" s="23" t="n">
        <f aca="false">IF(COUNTIFS(Quotes!$E$5:$E$604,$B45,Quotes!$G$5:$G$604,$C45,Quotes!$H$5:$H$604,$D45,Quotes!$J$5:$J$604,K$4,Quotes!$R$5:$R$604,"&lt;&gt;Unavailable")=0,"",_xlfn.MINIFS(Quotes!$M$5:$M$604,Quotes!$E$5:$E$604,$B45,Quotes!$G$5:$G$604,$C45,Quotes!$H$5:$H$604,$D45,Quotes!$J$5:$J$604,K$4,Quotes!$R$5:$R$604,"&lt;&gt;Unavailable"))</f>
        <v>1126.58536585366</v>
      </c>
      <c r="L45" s="24" t="n">
        <f aca="false">IF(COUNT(E45:K45)=0,"",MIN(E45:K45))</f>
        <v>1007.35949098621</v>
      </c>
      <c r="M45" s="25" t="str">
        <f aca="false">IF(L45="","",INDEX($E$4:$K$4,MATCH(L45,E45:K45,0)))</f>
        <v>Ottila</v>
      </c>
      <c r="N45" s="26" t="n">
        <f aca="false">IF(OR(K45="",COUNT(E45:J45)=0),"",K45-MIN(E45:J45))</f>
        <v>119.225874867444</v>
      </c>
    </row>
    <row r="46" customFormat="false" ht="23.85" hidden="false" customHeight="false" outlineLevel="0" collapsed="false">
      <c r="A46" s="22" t="s">
        <v>141</v>
      </c>
      <c r="B46" s="22" t="s">
        <v>162</v>
      </c>
      <c r="C46" s="22" t="s">
        <v>153</v>
      </c>
      <c r="D46" s="22" t="s">
        <v>104</v>
      </c>
      <c r="E46" s="23" t="n">
        <f aca="false">IF(COUNTIFS(Quotes!$E$5:$E$604,$B46,Quotes!$G$5:$G$604,$C46,Quotes!$H$5:$H$604,$D46,Quotes!$J$5:$J$604,E$4,Quotes!$R$5:$R$604,"&lt;&gt;Unavailable")=0,"",_xlfn.MINIFS(Quotes!$M$5:$M$604,Quotes!$E$5:$E$604,$B46,Quotes!$G$5:$G$604,$C46,Quotes!$H$5:$H$604,$D46,Quotes!$J$5:$J$604,E$4,Quotes!$R$5:$R$604,"&lt;&gt;Unavailable"))</f>
        <v>1362</v>
      </c>
      <c r="F46" s="23" t="str">
        <f aca="false">IF(COUNTIFS(Quotes!$E$5:$E$604,$B46,Quotes!$G$5:$G$604,$C46,Quotes!$H$5:$H$604,$D46,Quotes!$J$5:$J$604,F$4,Quotes!$R$5:$R$604,"&lt;&gt;Unavailable")=0,"",_xlfn.MINIFS(Quotes!$M$5:$M$604,Quotes!$E$5:$E$604,$B46,Quotes!$G$5:$G$604,$C46,Quotes!$H$5:$H$604,$D46,Quotes!$J$5:$J$604,F$4,Quotes!$R$5:$R$604,"&lt;&gt;Unavailable"))</f>
        <v/>
      </c>
      <c r="G46" s="23" t="str">
        <f aca="false">IF(COUNTIFS(Quotes!$E$5:$E$604,$B46,Quotes!$G$5:$G$604,$C46,Quotes!$H$5:$H$604,$D46,Quotes!$J$5:$J$604,G$4,Quotes!$R$5:$R$604,"&lt;&gt;Unavailable")=0,"",_xlfn.MINIFS(Quotes!$M$5:$M$604,Quotes!$E$5:$E$604,$B46,Quotes!$G$5:$G$604,$C46,Quotes!$H$5:$H$604,$D46,Quotes!$J$5:$J$604,G$4,Quotes!$R$5:$R$604,"&lt;&gt;Unavailable"))</f>
        <v/>
      </c>
      <c r="H46" s="23" t="str">
        <f aca="false">IF(COUNTIFS(Quotes!$E$5:$E$604,$B46,Quotes!$G$5:$G$604,$C46,Quotes!$H$5:$H$604,$D46,Quotes!$J$5:$J$604,H$4,Quotes!$R$5:$R$604,"&lt;&gt;Unavailable")=0,"",_xlfn.MINIFS(Quotes!$M$5:$M$604,Quotes!$E$5:$E$604,$B46,Quotes!$G$5:$G$604,$C46,Quotes!$H$5:$H$604,$D46,Quotes!$J$5:$J$604,H$4,Quotes!$R$5:$R$604,"&lt;&gt;Unavailable"))</f>
        <v/>
      </c>
      <c r="I46" s="23" t="str">
        <f aca="false">IF(COUNTIFS(Quotes!$E$5:$E$604,$B46,Quotes!$G$5:$G$604,$C46,Quotes!$H$5:$H$604,$D46,Quotes!$J$5:$J$604,I$4,Quotes!$R$5:$R$604,"&lt;&gt;Unavailable")=0,"",_xlfn.MINIFS(Quotes!$M$5:$M$604,Quotes!$E$5:$E$604,$B46,Quotes!$G$5:$G$604,$C46,Quotes!$H$5:$H$604,$D46,Quotes!$J$5:$J$604,I$4,Quotes!$R$5:$R$604,"&lt;&gt;Unavailable"))</f>
        <v/>
      </c>
      <c r="J46" s="23" t="str">
        <f aca="false">IF(COUNTIFS(Quotes!$E$5:$E$604,$B46,Quotes!$G$5:$G$604,$C46,Quotes!$H$5:$H$604,$D46,Quotes!$J$5:$J$604,J$4,Quotes!$R$5:$R$604,"&lt;&gt;Unavailable")=0,"",_xlfn.MINIFS(Quotes!$M$5:$M$604,Quotes!$E$5:$E$604,$B46,Quotes!$G$5:$G$604,$C46,Quotes!$H$5:$H$604,$D46,Quotes!$J$5:$J$604,J$4,Quotes!$R$5:$R$604,"&lt;&gt;Unavailable"))</f>
        <v/>
      </c>
      <c r="K46" s="23" t="n">
        <f aca="false">IF(COUNTIFS(Quotes!$E$5:$E$604,$B46,Quotes!$G$5:$G$604,$C46,Quotes!$H$5:$H$604,$D46,Quotes!$J$5:$J$604,K$4,Quotes!$R$5:$R$604,"&lt;&gt;Unavailable")=0,"",_xlfn.MINIFS(Quotes!$M$5:$M$604,Quotes!$E$5:$E$604,$B46,Quotes!$G$5:$G$604,$C46,Quotes!$H$5:$H$604,$D46,Quotes!$J$5:$J$604,K$4,Quotes!$R$5:$R$604,"&lt;&gt;Unavailable"))</f>
        <v>1447</v>
      </c>
      <c r="L46" s="24" t="n">
        <f aca="false">IF(COUNT(E46:K46)=0,"",MIN(E46:K46))</f>
        <v>1362</v>
      </c>
      <c r="M46" s="25" t="str">
        <f aca="false">IF(L46="","",INDEX($E$4:$K$4,MATCH(L46,E46:K46,0)))</f>
        <v>Ottila</v>
      </c>
      <c r="N46" s="26" t="n">
        <f aca="false">IF(OR(K46="",COUNT(E46:J46)=0),"",K46-MIN(E46:J46))</f>
        <v>85</v>
      </c>
    </row>
    <row r="47" customFormat="false" ht="15" hidden="false" customHeight="false" outlineLevel="0" collapsed="false">
      <c r="A47" s="22" t="s">
        <v>141</v>
      </c>
      <c r="B47" s="22" t="s">
        <v>163</v>
      </c>
      <c r="C47" s="22" t="s">
        <v>164</v>
      </c>
      <c r="D47" s="22" t="s">
        <v>117</v>
      </c>
      <c r="E47" s="23" t="n">
        <f aca="false">IF(COUNTIFS(Quotes!$E$5:$E$604,$B47,Quotes!$G$5:$G$604,$C47,Quotes!$H$5:$H$604,$D47,Quotes!$J$5:$J$604,E$4,Quotes!$R$5:$R$604,"&lt;&gt;Unavailable")=0,"",_xlfn.MINIFS(Quotes!$M$5:$M$604,Quotes!$E$5:$E$604,$B47,Quotes!$G$5:$G$604,$C47,Quotes!$H$5:$H$604,$D47,Quotes!$J$5:$J$604,E$4,Quotes!$R$5:$R$604,"&lt;&gt;Unavailable"))</f>
        <v>2683.56309650053</v>
      </c>
      <c r="F47" s="23" t="str">
        <f aca="false">IF(COUNTIFS(Quotes!$E$5:$E$604,$B47,Quotes!$G$5:$G$604,$C47,Quotes!$H$5:$H$604,$D47,Quotes!$J$5:$J$604,F$4,Quotes!$R$5:$R$604,"&lt;&gt;Unavailable")=0,"",_xlfn.MINIFS(Quotes!$M$5:$M$604,Quotes!$E$5:$E$604,$B47,Quotes!$G$5:$G$604,$C47,Quotes!$H$5:$H$604,$D47,Quotes!$J$5:$J$604,F$4,Quotes!$R$5:$R$604,"&lt;&gt;Unavailable"))</f>
        <v/>
      </c>
      <c r="G47" s="23" t="str">
        <f aca="false">IF(COUNTIFS(Quotes!$E$5:$E$604,$B47,Quotes!$G$5:$G$604,$C47,Quotes!$H$5:$H$604,$D47,Quotes!$J$5:$J$604,G$4,Quotes!$R$5:$R$604,"&lt;&gt;Unavailable")=0,"",_xlfn.MINIFS(Quotes!$M$5:$M$604,Quotes!$E$5:$E$604,$B47,Quotes!$G$5:$G$604,$C47,Quotes!$H$5:$H$604,$D47,Quotes!$J$5:$J$604,G$4,Quotes!$R$5:$R$604,"&lt;&gt;Unavailable"))</f>
        <v/>
      </c>
      <c r="H47" s="23" t="str">
        <f aca="false">IF(COUNTIFS(Quotes!$E$5:$E$604,$B47,Quotes!$G$5:$G$604,$C47,Quotes!$H$5:$H$604,$D47,Quotes!$J$5:$J$604,H$4,Quotes!$R$5:$R$604,"&lt;&gt;Unavailable")=0,"",_xlfn.MINIFS(Quotes!$M$5:$M$604,Quotes!$E$5:$E$604,$B47,Quotes!$G$5:$G$604,$C47,Quotes!$H$5:$H$604,$D47,Quotes!$J$5:$J$604,H$4,Quotes!$R$5:$R$604,"&lt;&gt;Unavailable"))</f>
        <v/>
      </c>
      <c r="I47" s="23" t="str">
        <f aca="false">IF(COUNTIFS(Quotes!$E$5:$E$604,$B47,Quotes!$G$5:$G$604,$C47,Quotes!$H$5:$H$604,$D47,Quotes!$J$5:$J$604,I$4,Quotes!$R$5:$R$604,"&lt;&gt;Unavailable")=0,"",_xlfn.MINIFS(Quotes!$M$5:$M$604,Quotes!$E$5:$E$604,$B47,Quotes!$G$5:$G$604,$C47,Quotes!$H$5:$H$604,$D47,Quotes!$J$5:$J$604,I$4,Quotes!$R$5:$R$604,"&lt;&gt;Unavailable"))</f>
        <v/>
      </c>
      <c r="J47" s="23" t="str">
        <f aca="false">IF(COUNTIFS(Quotes!$E$5:$E$604,$B47,Quotes!$G$5:$G$604,$C47,Quotes!$H$5:$H$604,$D47,Quotes!$J$5:$J$604,J$4,Quotes!$R$5:$R$604,"&lt;&gt;Unavailable")=0,"",_xlfn.MINIFS(Quotes!$M$5:$M$604,Quotes!$E$5:$E$604,$B47,Quotes!$G$5:$G$604,$C47,Quotes!$H$5:$H$604,$D47,Quotes!$J$5:$J$604,J$4,Quotes!$R$5:$R$604,"&lt;&gt;Unavailable"))</f>
        <v/>
      </c>
      <c r="K47" s="23" t="n">
        <f aca="false">IF(COUNTIFS(Quotes!$E$5:$E$604,$B47,Quotes!$G$5:$G$604,$C47,Quotes!$H$5:$H$604,$D47,Quotes!$J$5:$J$604,K$4,Quotes!$R$5:$R$604,"&lt;&gt;Unavailable")=0,"",_xlfn.MINIFS(Quotes!$M$5:$M$604,Quotes!$E$5:$E$604,$B47,Quotes!$G$5:$G$604,$C47,Quotes!$H$5:$H$604,$D47,Quotes!$J$5:$J$604,K$4,Quotes!$R$5:$R$604,"&lt;&gt;Unavailable"))</f>
        <v>2981.99363732768</v>
      </c>
      <c r="L47" s="24" t="n">
        <f aca="false">IF(COUNT(E47:K47)=0,"",MIN(E47:K47))</f>
        <v>2683.56309650053</v>
      </c>
      <c r="M47" s="25" t="str">
        <f aca="false">IF(L47="","",INDEX($E$4:$K$4,MATCH(L47,E47:K47,0)))</f>
        <v>Ottila</v>
      </c>
      <c r="N47" s="26" t="n">
        <f aca="false">IF(OR(K47="",COUNT(E47:J47)=0),"",K47-MIN(E47:J47))</f>
        <v>298.430540827148</v>
      </c>
    </row>
    <row r="48" customFormat="false" ht="15" hidden="false" customHeight="false" outlineLevel="0" collapsed="false">
      <c r="A48" s="22" t="s">
        <v>141</v>
      </c>
      <c r="B48" s="22" t="s">
        <v>163</v>
      </c>
      <c r="C48" s="22" t="s">
        <v>165</v>
      </c>
      <c r="D48" s="22" t="s">
        <v>117</v>
      </c>
      <c r="E48" s="23" t="n">
        <f aca="false">IF(COUNTIFS(Quotes!$E$5:$E$604,$B48,Quotes!$G$5:$G$604,$C48,Quotes!$H$5:$H$604,$D48,Quotes!$J$5:$J$604,E$4,Quotes!$R$5:$R$604,"&lt;&gt;Unavailable")=0,"",_xlfn.MINIFS(Quotes!$M$5:$M$604,Quotes!$E$5:$E$604,$B48,Quotes!$G$5:$G$604,$C48,Quotes!$H$5:$H$604,$D48,Quotes!$J$5:$J$604,E$4,Quotes!$R$5:$R$604,"&lt;&gt;Unavailable"))</f>
        <v>2422.38600212089</v>
      </c>
      <c r="F48" s="23" t="str">
        <f aca="false">IF(COUNTIFS(Quotes!$E$5:$E$604,$B48,Quotes!$G$5:$G$604,$C48,Quotes!$H$5:$H$604,$D48,Quotes!$J$5:$J$604,F$4,Quotes!$R$5:$R$604,"&lt;&gt;Unavailable")=0,"",_xlfn.MINIFS(Quotes!$M$5:$M$604,Quotes!$E$5:$E$604,$B48,Quotes!$G$5:$G$604,$C48,Quotes!$H$5:$H$604,$D48,Quotes!$J$5:$J$604,F$4,Quotes!$R$5:$R$604,"&lt;&gt;Unavailable"))</f>
        <v/>
      </c>
      <c r="G48" s="23" t="str">
        <f aca="false">IF(COUNTIFS(Quotes!$E$5:$E$604,$B48,Quotes!$G$5:$G$604,$C48,Quotes!$H$5:$H$604,$D48,Quotes!$J$5:$J$604,G$4,Quotes!$R$5:$R$604,"&lt;&gt;Unavailable")=0,"",_xlfn.MINIFS(Quotes!$M$5:$M$604,Quotes!$E$5:$E$604,$B48,Quotes!$G$5:$G$604,$C48,Quotes!$H$5:$H$604,$D48,Quotes!$J$5:$J$604,G$4,Quotes!$R$5:$R$604,"&lt;&gt;Unavailable"))</f>
        <v/>
      </c>
      <c r="H48" s="23" t="str">
        <f aca="false">IF(COUNTIFS(Quotes!$E$5:$E$604,$B48,Quotes!$G$5:$G$604,$C48,Quotes!$H$5:$H$604,$D48,Quotes!$J$5:$J$604,H$4,Quotes!$R$5:$R$604,"&lt;&gt;Unavailable")=0,"",_xlfn.MINIFS(Quotes!$M$5:$M$604,Quotes!$E$5:$E$604,$B48,Quotes!$G$5:$G$604,$C48,Quotes!$H$5:$H$604,$D48,Quotes!$J$5:$J$604,H$4,Quotes!$R$5:$R$604,"&lt;&gt;Unavailable"))</f>
        <v/>
      </c>
      <c r="I48" s="23" t="str">
        <f aca="false">IF(COUNTIFS(Quotes!$E$5:$E$604,$B48,Quotes!$G$5:$G$604,$C48,Quotes!$H$5:$H$604,$D48,Quotes!$J$5:$J$604,I$4,Quotes!$R$5:$R$604,"&lt;&gt;Unavailable")=0,"",_xlfn.MINIFS(Quotes!$M$5:$M$604,Quotes!$E$5:$E$604,$B48,Quotes!$G$5:$G$604,$C48,Quotes!$H$5:$H$604,$D48,Quotes!$J$5:$J$604,I$4,Quotes!$R$5:$R$604,"&lt;&gt;Unavailable"))</f>
        <v/>
      </c>
      <c r="J48" s="23" t="str">
        <f aca="false">IF(COUNTIFS(Quotes!$E$5:$E$604,$B48,Quotes!$G$5:$G$604,$C48,Quotes!$H$5:$H$604,$D48,Quotes!$J$5:$J$604,J$4,Quotes!$R$5:$R$604,"&lt;&gt;Unavailable")=0,"",_xlfn.MINIFS(Quotes!$M$5:$M$604,Quotes!$E$5:$E$604,$B48,Quotes!$G$5:$G$604,$C48,Quotes!$H$5:$H$604,$D48,Quotes!$J$5:$J$604,J$4,Quotes!$R$5:$R$604,"&lt;&gt;Unavailable"))</f>
        <v/>
      </c>
      <c r="K48" s="23" t="n">
        <f aca="false">IF(COUNTIFS(Quotes!$E$5:$E$604,$B48,Quotes!$G$5:$G$604,$C48,Quotes!$H$5:$H$604,$D48,Quotes!$J$5:$J$604,K$4,Quotes!$R$5:$R$604,"&lt;&gt;Unavailable")=0,"",_xlfn.MINIFS(Quotes!$M$5:$M$604,Quotes!$E$5:$E$604,$B48,Quotes!$G$5:$G$604,$C48,Quotes!$H$5:$H$604,$D48,Quotes!$J$5:$J$604,K$4,Quotes!$R$5:$R$604,"&lt;&gt;Unavailable"))</f>
        <v>2691.77094379639</v>
      </c>
      <c r="L48" s="24" t="n">
        <f aca="false">IF(COUNT(E48:K48)=0,"",MIN(E48:K48))</f>
        <v>2422.38600212089</v>
      </c>
      <c r="M48" s="25" t="str">
        <f aca="false">IF(L48="","",INDEX($E$4:$K$4,MATCH(L48,E48:K48,0)))</f>
        <v>Ottila</v>
      </c>
      <c r="N48" s="26" t="n">
        <f aca="false">IF(OR(K48="",COUNT(E48:J48)=0),"",K48-MIN(E48:J48))</f>
        <v>269.384941675504</v>
      </c>
    </row>
    <row r="49" customFormat="false" ht="15" hidden="false" customHeight="false" outlineLevel="0" collapsed="false">
      <c r="A49" s="22" t="s">
        <v>141</v>
      </c>
      <c r="B49" s="22" t="s">
        <v>166</v>
      </c>
      <c r="C49" s="22" t="s">
        <v>167</v>
      </c>
      <c r="D49" s="22" t="s">
        <v>75</v>
      </c>
      <c r="E49" s="23" t="n">
        <f aca="false">IF(COUNTIFS(Quotes!$E$5:$E$604,$B49,Quotes!$G$5:$G$604,$C49,Quotes!$H$5:$H$604,$D49,Quotes!$J$5:$J$604,E$4,Quotes!$R$5:$R$604,"&lt;&gt;Unavailable")=0,"",_xlfn.MINIFS(Quotes!$M$5:$M$604,Quotes!$E$5:$E$604,$B49,Quotes!$G$5:$G$604,$C49,Quotes!$H$5:$H$604,$D49,Quotes!$J$5:$J$604,E$4,Quotes!$R$5:$R$604,"&lt;&gt;Unavailable"))</f>
        <v>752</v>
      </c>
      <c r="F49" s="23" t="str">
        <f aca="false">IF(COUNTIFS(Quotes!$E$5:$E$604,$B49,Quotes!$G$5:$G$604,$C49,Quotes!$H$5:$H$604,$D49,Quotes!$J$5:$J$604,F$4,Quotes!$R$5:$R$604,"&lt;&gt;Unavailable")=0,"",_xlfn.MINIFS(Quotes!$M$5:$M$604,Quotes!$E$5:$E$604,$B49,Quotes!$G$5:$G$604,$C49,Quotes!$H$5:$H$604,$D49,Quotes!$J$5:$J$604,F$4,Quotes!$R$5:$R$604,"&lt;&gt;Unavailable"))</f>
        <v/>
      </c>
      <c r="G49" s="23" t="str">
        <f aca="false">IF(COUNTIFS(Quotes!$E$5:$E$604,$B49,Quotes!$G$5:$G$604,$C49,Quotes!$H$5:$H$604,$D49,Quotes!$J$5:$J$604,G$4,Quotes!$R$5:$R$604,"&lt;&gt;Unavailable")=0,"",_xlfn.MINIFS(Quotes!$M$5:$M$604,Quotes!$E$5:$E$604,$B49,Quotes!$G$5:$G$604,$C49,Quotes!$H$5:$H$604,$D49,Quotes!$J$5:$J$604,G$4,Quotes!$R$5:$R$604,"&lt;&gt;Unavailable"))</f>
        <v/>
      </c>
      <c r="H49" s="23" t="str">
        <f aca="false">IF(COUNTIFS(Quotes!$E$5:$E$604,$B49,Quotes!$G$5:$G$604,$C49,Quotes!$H$5:$H$604,$D49,Quotes!$J$5:$J$604,H$4,Quotes!$R$5:$R$604,"&lt;&gt;Unavailable")=0,"",_xlfn.MINIFS(Quotes!$M$5:$M$604,Quotes!$E$5:$E$604,$B49,Quotes!$G$5:$G$604,$C49,Quotes!$H$5:$H$604,$D49,Quotes!$J$5:$J$604,H$4,Quotes!$R$5:$R$604,"&lt;&gt;Unavailable"))</f>
        <v/>
      </c>
      <c r="I49" s="23" t="str">
        <f aca="false">IF(COUNTIFS(Quotes!$E$5:$E$604,$B49,Quotes!$G$5:$G$604,$C49,Quotes!$H$5:$H$604,$D49,Quotes!$J$5:$J$604,I$4,Quotes!$R$5:$R$604,"&lt;&gt;Unavailable")=0,"",_xlfn.MINIFS(Quotes!$M$5:$M$604,Quotes!$E$5:$E$604,$B49,Quotes!$G$5:$G$604,$C49,Quotes!$H$5:$H$604,$D49,Quotes!$J$5:$J$604,I$4,Quotes!$R$5:$R$604,"&lt;&gt;Unavailable"))</f>
        <v/>
      </c>
      <c r="J49" s="23" t="str">
        <f aca="false">IF(COUNTIFS(Quotes!$E$5:$E$604,$B49,Quotes!$G$5:$G$604,$C49,Quotes!$H$5:$H$604,$D49,Quotes!$J$5:$J$604,J$4,Quotes!$R$5:$R$604,"&lt;&gt;Unavailable")=0,"",_xlfn.MINIFS(Quotes!$M$5:$M$604,Quotes!$E$5:$E$604,$B49,Quotes!$G$5:$G$604,$C49,Quotes!$H$5:$H$604,$D49,Quotes!$J$5:$J$604,J$4,Quotes!$R$5:$R$604,"&lt;&gt;Unavailable"))</f>
        <v/>
      </c>
      <c r="K49" s="23" t="n">
        <f aca="false">IF(COUNTIFS(Quotes!$E$5:$E$604,$B49,Quotes!$G$5:$G$604,$C49,Quotes!$H$5:$H$604,$D49,Quotes!$J$5:$J$604,K$4,Quotes!$R$5:$R$604,"&lt;&gt;Unavailable")=0,"",_xlfn.MINIFS(Quotes!$M$5:$M$604,Quotes!$E$5:$E$604,$B49,Quotes!$G$5:$G$604,$C49,Quotes!$H$5:$H$604,$D49,Quotes!$J$5:$J$604,K$4,Quotes!$R$5:$R$604,"&lt;&gt;Unavailable"))</f>
        <v>923</v>
      </c>
      <c r="L49" s="24" t="n">
        <f aca="false">IF(COUNT(E49:K49)=0,"",MIN(E49:K49))</f>
        <v>752</v>
      </c>
      <c r="M49" s="25" t="str">
        <f aca="false">IF(L49="","",INDEX($E$4:$K$4,MATCH(L49,E49:K49,0)))</f>
        <v>Ottila</v>
      </c>
      <c r="N49" s="26" t="n">
        <f aca="false">IF(OR(K49="",COUNT(E49:J49)=0),"",K49-MIN(E49:J49))</f>
        <v>171</v>
      </c>
    </row>
    <row r="50" customFormat="false" ht="15" hidden="false" customHeight="false" outlineLevel="0" collapsed="false">
      <c r="A50" s="22" t="s">
        <v>141</v>
      </c>
      <c r="B50" s="22" t="s">
        <v>168</v>
      </c>
      <c r="C50" s="22" t="s">
        <v>169</v>
      </c>
      <c r="D50" s="22" t="s">
        <v>153</v>
      </c>
      <c r="E50" s="23" t="str">
        <f aca="false">IF(COUNTIFS(Quotes!$E$5:$E$604,$B50,Quotes!$G$5:$G$604,$C50,Quotes!$H$5:$H$604,$D50,Quotes!$J$5:$J$604,E$4,Quotes!$R$5:$R$604,"&lt;&gt;Unavailable")=0,"",_xlfn.MINIFS(Quotes!$M$5:$M$604,Quotes!$E$5:$E$604,$B50,Quotes!$G$5:$G$604,$C50,Quotes!$H$5:$H$604,$D50,Quotes!$J$5:$J$604,E$4,Quotes!$R$5:$R$604,"&lt;&gt;Unavailable"))</f>
        <v/>
      </c>
      <c r="F50" s="23" t="str">
        <f aca="false">IF(COUNTIFS(Quotes!$E$5:$E$604,$B50,Quotes!$G$5:$G$604,$C50,Quotes!$H$5:$H$604,$D50,Quotes!$J$5:$J$604,F$4,Quotes!$R$5:$R$604,"&lt;&gt;Unavailable")=0,"",_xlfn.MINIFS(Quotes!$M$5:$M$604,Quotes!$E$5:$E$604,$B50,Quotes!$G$5:$G$604,$C50,Quotes!$H$5:$H$604,$D50,Quotes!$J$5:$J$604,F$4,Quotes!$R$5:$R$604,"&lt;&gt;Unavailable"))</f>
        <v/>
      </c>
      <c r="G50" s="23" t="str">
        <f aca="false">IF(COUNTIFS(Quotes!$E$5:$E$604,$B50,Quotes!$G$5:$G$604,$C50,Quotes!$H$5:$H$604,$D50,Quotes!$J$5:$J$604,G$4,Quotes!$R$5:$R$604,"&lt;&gt;Unavailable")=0,"",_xlfn.MINIFS(Quotes!$M$5:$M$604,Quotes!$E$5:$E$604,$B50,Quotes!$G$5:$G$604,$C50,Quotes!$H$5:$H$604,$D50,Quotes!$J$5:$J$604,G$4,Quotes!$R$5:$R$604,"&lt;&gt;Unavailable"))</f>
        <v/>
      </c>
      <c r="H50" s="23" t="str">
        <f aca="false">IF(COUNTIFS(Quotes!$E$5:$E$604,$B50,Quotes!$G$5:$G$604,$C50,Quotes!$H$5:$H$604,$D50,Quotes!$J$5:$J$604,H$4,Quotes!$R$5:$R$604,"&lt;&gt;Unavailable")=0,"",_xlfn.MINIFS(Quotes!$M$5:$M$604,Quotes!$E$5:$E$604,$B50,Quotes!$G$5:$G$604,$C50,Quotes!$H$5:$H$604,$D50,Quotes!$J$5:$J$604,H$4,Quotes!$R$5:$R$604,"&lt;&gt;Unavailable"))</f>
        <v/>
      </c>
      <c r="I50" s="23" t="n">
        <f aca="false">IF(COUNTIFS(Quotes!$E$5:$E$604,$B50,Quotes!$G$5:$G$604,$C50,Quotes!$H$5:$H$604,$D50,Quotes!$J$5:$J$604,I$4,Quotes!$R$5:$R$604,"&lt;&gt;Unavailable")=0,"",_xlfn.MINIFS(Quotes!$M$5:$M$604,Quotes!$E$5:$E$604,$B50,Quotes!$G$5:$G$604,$C50,Quotes!$H$5:$H$604,$D50,Quotes!$J$5:$J$604,I$4,Quotes!$R$5:$R$604,"&lt;&gt;Unavailable"))</f>
        <v>766</v>
      </c>
      <c r="J50" s="23" t="str">
        <f aca="false">IF(COUNTIFS(Quotes!$E$5:$E$604,$B50,Quotes!$G$5:$G$604,$C50,Quotes!$H$5:$H$604,$D50,Quotes!$J$5:$J$604,J$4,Quotes!$R$5:$R$604,"&lt;&gt;Unavailable")=0,"",_xlfn.MINIFS(Quotes!$M$5:$M$604,Quotes!$E$5:$E$604,$B50,Quotes!$G$5:$G$604,$C50,Quotes!$H$5:$H$604,$D50,Quotes!$J$5:$J$604,J$4,Quotes!$R$5:$R$604,"&lt;&gt;Unavailable"))</f>
        <v/>
      </c>
      <c r="K50" s="23" t="str">
        <f aca="false">IF(COUNTIFS(Quotes!$E$5:$E$604,$B50,Quotes!$G$5:$G$604,$C50,Quotes!$H$5:$H$604,$D50,Quotes!$J$5:$J$604,K$4,Quotes!$R$5:$R$604,"&lt;&gt;Unavailable")=0,"",_xlfn.MINIFS(Quotes!$M$5:$M$604,Quotes!$E$5:$E$604,$B50,Quotes!$G$5:$G$604,$C50,Quotes!$H$5:$H$604,$D50,Quotes!$J$5:$J$604,K$4,Quotes!$R$5:$R$604,"&lt;&gt;Unavailable"))</f>
        <v/>
      </c>
      <c r="L50" s="24" t="n">
        <f aca="false">IF(COUNT(E50:K50)=0,"",MIN(E50:K50))</f>
        <v>766</v>
      </c>
      <c r="M50" s="25" t="str">
        <f aca="false">IF(L50="","",INDEX($E$4:$K$4,MATCH(L50,E50:K50,0)))</f>
        <v>Direct</v>
      </c>
      <c r="N50" s="26" t="str">
        <f aca="false">IF(OR(K50="",COUNT(E50:J50)=0),"",K50-MIN(E50:J50))</f>
        <v/>
      </c>
    </row>
    <row r="51" customFormat="false" ht="15" hidden="false" customHeight="false" outlineLevel="0" collapsed="false">
      <c r="A51" s="22" t="s">
        <v>170</v>
      </c>
      <c r="B51" s="22" t="s">
        <v>171</v>
      </c>
      <c r="C51" s="22" t="s">
        <v>172</v>
      </c>
      <c r="D51" s="22" t="s">
        <v>104</v>
      </c>
      <c r="E51" s="23" t="n">
        <f aca="false">IF(COUNTIFS(Quotes!$E$5:$E$604,$B51,Quotes!$G$5:$G$604,$C51,Quotes!$H$5:$H$604,$D51,Quotes!$J$5:$J$604,E$4,Quotes!$R$5:$R$604,"&lt;&gt;Unavailable")=0,"",_xlfn.MINIFS(Quotes!$M$5:$M$604,Quotes!$E$5:$E$604,$B51,Quotes!$G$5:$G$604,$C51,Quotes!$H$5:$H$604,$D51,Quotes!$J$5:$J$604,E$4,Quotes!$R$5:$R$604,"&lt;&gt;Unavailable"))</f>
        <v>938.738069989396</v>
      </c>
      <c r="F51" s="23" t="str">
        <f aca="false">IF(COUNTIFS(Quotes!$E$5:$E$604,$B51,Quotes!$G$5:$G$604,$C51,Quotes!$H$5:$H$604,$D51,Quotes!$J$5:$J$604,F$4,Quotes!$R$5:$R$604,"&lt;&gt;Unavailable")=0,"",_xlfn.MINIFS(Quotes!$M$5:$M$604,Quotes!$E$5:$E$604,$B51,Quotes!$G$5:$G$604,$C51,Quotes!$H$5:$H$604,$D51,Quotes!$J$5:$J$604,F$4,Quotes!$R$5:$R$604,"&lt;&gt;Unavailable"))</f>
        <v/>
      </c>
      <c r="G51" s="23" t="str">
        <f aca="false">IF(COUNTIFS(Quotes!$E$5:$E$604,$B51,Quotes!$G$5:$G$604,$C51,Quotes!$H$5:$H$604,$D51,Quotes!$J$5:$J$604,G$4,Quotes!$R$5:$R$604,"&lt;&gt;Unavailable")=0,"",_xlfn.MINIFS(Quotes!$M$5:$M$604,Quotes!$E$5:$E$604,$B51,Quotes!$G$5:$G$604,$C51,Quotes!$H$5:$H$604,$D51,Quotes!$J$5:$J$604,G$4,Quotes!$R$5:$R$604,"&lt;&gt;Unavailable"))</f>
        <v/>
      </c>
      <c r="H51" s="23" t="str">
        <f aca="false">IF(COUNTIFS(Quotes!$E$5:$E$604,$B51,Quotes!$G$5:$G$604,$C51,Quotes!$H$5:$H$604,$D51,Quotes!$J$5:$J$604,H$4,Quotes!$R$5:$R$604,"&lt;&gt;Unavailable")=0,"",_xlfn.MINIFS(Quotes!$M$5:$M$604,Quotes!$E$5:$E$604,$B51,Quotes!$G$5:$G$604,$C51,Quotes!$H$5:$H$604,$D51,Quotes!$J$5:$J$604,H$4,Quotes!$R$5:$R$604,"&lt;&gt;Unavailable"))</f>
        <v/>
      </c>
      <c r="I51" s="23" t="str">
        <f aca="false">IF(COUNTIFS(Quotes!$E$5:$E$604,$B51,Quotes!$G$5:$G$604,$C51,Quotes!$H$5:$H$604,$D51,Quotes!$J$5:$J$604,I$4,Quotes!$R$5:$R$604,"&lt;&gt;Unavailable")=0,"",_xlfn.MINIFS(Quotes!$M$5:$M$604,Quotes!$E$5:$E$604,$B51,Quotes!$G$5:$G$604,$C51,Quotes!$H$5:$H$604,$D51,Quotes!$J$5:$J$604,I$4,Quotes!$R$5:$R$604,"&lt;&gt;Unavailable"))</f>
        <v/>
      </c>
      <c r="J51" s="23" t="str">
        <f aca="false">IF(COUNTIFS(Quotes!$E$5:$E$604,$B51,Quotes!$G$5:$G$604,$C51,Quotes!$H$5:$H$604,$D51,Quotes!$J$5:$J$604,J$4,Quotes!$R$5:$R$604,"&lt;&gt;Unavailable")=0,"",_xlfn.MINIFS(Quotes!$M$5:$M$604,Quotes!$E$5:$E$604,$B51,Quotes!$G$5:$G$604,$C51,Quotes!$H$5:$H$604,$D51,Quotes!$J$5:$J$604,J$4,Quotes!$R$5:$R$604,"&lt;&gt;Unavailable"))</f>
        <v/>
      </c>
      <c r="K51" s="23" t="n">
        <f aca="false">IF(COUNTIFS(Quotes!$E$5:$E$604,$B51,Quotes!$G$5:$G$604,$C51,Quotes!$H$5:$H$604,$D51,Quotes!$J$5:$J$604,K$4,Quotes!$R$5:$R$604,"&lt;&gt;Unavailable")=0,"",_xlfn.MINIFS(Quotes!$M$5:$M$604,Quotes!$E$5:$E$604,$B51,Quotes!$G$5:$G$604,$C51,Quotes!$H$5:$H$604,$D51,Quotes!$J$5:$J$604,K$4,Quotes!$R$5:$R$604,"&lt;&gt;Unavailable"))</f>
        <v>1461</v>
      </c>
      <c r="L51" s="24" t="n">
        <f aca="false">IF(COUNT(E51:K51)=0,"",MIN(E51:K51))</f>
        <v>938.738069989396</v>
      </c>
      <c r="M51" s="25" t="str">
        <f aca="false">IF(L51="","",INDEX($E$4:$K$4,MATCH(L51,E51:K51,0)))</f>
        <v>Ottila</v>
      </c>
      <c r="N51" s="26" t="n">
        <f aca="false">IF(OR(K51="",COUNT(E51:J51)=0),"",K51-MIN(E51:J51))</f>
        <v>522.261930010604</v>
      </c>
    </row>
    <row r="52" customFormat="false" ht="15" hidden="false" customHeight="false" outlineLevel="0" collapsed="false">
      <c r="A52" s="22" t="s">
        <v>170</v>
      </c>
      <c r="B52" s="22" t="s">
        <v>173</v>
      </c>
      <c r="C52" s="22" t="s">
        <v>174</v>
      </c>
      <c r="D52" s="22" t="s">
        <v>75</v>
      </c>
      <c r="E52" s="23" t="n">
        <f aca="false">IF(COUNTIFS(Quotes!$E$5:$E$604,$B52,Quotes!$G$5:$G$604,$C52,Quotes!$H$5:$H$604,$D52,Quotes!$J$5:$J$604,E$4,Quotes!$R$5:$R$604,"&lt;&gt;Unavailable")=0,"",_xlfn.MINIFS(Quotes!$M$5:$M$604,Quotes!$E$5:$E$604,$B52,Quotes!$G$5:$G$604,$C52,Quotes!$H$5:$H$604,$D52,Quotes!$J$5:$J$604,E$4,Quotes!$R$5:$R$604,"&lt;&gt;Unavailable"))</f>
        <v>1857.27465535525</v>
      </c>
      <c r="F52" s="23" t="str">
        <f aca="false">IF(COUNTIFS(Quotes!$E$5:$E$604,$B52,Quotes!$G$5:$G$604,$C52,Quotes!$H$5:$H$604,$D52,Quotes!$J$5:$J$604,F$4,Quotes!$R$5:$R$604,"&lt;&gt;Unavailable")=0,"",_xlfn.MINIFS(Quotes!$M$5:$M$604,Quotes!$E$5:$E$604,$B52,Quotes!$G$5:$G$604,$C52,Quotes!$H$5:$H$604,$D52,Quotes!$J$5:$J$604,F$4,Quotes!$R$5:$R$604,"&lt;&gt;Unavailable"))</f>
        <v/>
      </c>
      <c r="G52" s="23" t="str">
        <f aca="false">IF(COUNTIFS(Quotes!$E$5:$E$604,$B52,Quotes!$G$5:$G$604,$C52,Quotes!$H$5:$H$604,$D52,Quotes!$J$5:$J$604,G$4,Quotes!$R$5:$R$604,"&lt;&gt;Unavailable")=0,"",_xlfn.MINIFS(Quotes!$M$5:$M$604,Quotes!$E$5:$E$604,$B52,Quotes!$G$5:$G$604,$C52,Quotes!$H$5:$H$604,$D52,Quotes!$J$5:$J$604,G$4,Quotes!$R$5:$R$604,"&lt;&gt;Unavailable"))</f>
        <v/>
      </c>
      <c r="H52" s="23" t="str">
        <f aca="false">IF(COUNTIFS(Quotes!$E$5:$E$604,$B52,Quotes!$G$5:$G$604,$C52,Quotes!$H$5:$H$604,$D52,Quotes!$J$5:$J$604,H$4,Quotes!$R$5:$R$604,"&lt;&gt;Unavailable")=0,"",_xlfn.MINIFS(Quotes!$M$5:$M$604,Quotes!$E$5:$E$604,$B52,Quotes!$G$5:$G$604,$C52,Quotes!$H$5:$H$604,$D52,Quotes!$J$5:$J$604,H$4,Quotes!$R$5:$R$604,"&lt;&gt;Unavailable"))</f>
        <v/>
      </c>
      <c r="I52" s="23" t="str">
        <f aca="false">IF(COUNTIFS(Quotes!$E$5:$E$604,$B52,Quotes!$G$5:$G$604,$C52,Quotes!$H$5:$H$604,$D52,Quotes!$J$5:$J$604,I$4,Quotes!$R$5:$R$604,"&lt;&gt;Unavailable")=0,"",_xlfn.MINIFS(Quotes!$M$5:$M$604,Quotes!$E$5:$E$604,$B52,Quotes!$G$5:$G$604,$C52,Quotes!$H$5:$H$604,$D52,Quotes!$J$5:$J$604,I$4,Quotes!$R$5:$R$604,"&lt;&gt;Unavailable"))</f>
        <v/>
      </c>
      <c r="J52" s="23" t="str">
        <f aca="false">IF(COUNTIFS(Quotes!$E$5:$E$604,$B52,Quotes!$G$5:$G$604,$C52,Quotes!$H$5:$H$604,$D52,Quotes!$J$5:$J$604,J$4,Quotes!$R$5:$R$604,"&lt;&gt;Unavailable")=0,"",_xlfn.MINIFS(Quotes!$M$5:$M$604,Quotes!$E$5:$E$604,$B52,Quotes!$G$5:$G$604,$C52,Quotes!$H$5:$H$604,$D52,Quotes!$J$5:$J$604,J$4,Quotes!$R$5:$R$604,"&lt;&gt;Unavailable"))</f>
        <v/>
      </c>
      <c r="K52" s="23" t="n">
        <f aca="false">IF(COUNTIFS(Quotes!$E$5:$E$604,$B52,Quotes!$G$5:$G$604,$C52,Quotes!$H$5:$H$604,$D52,Quotes!$J$5:$J$604,K$4,Quotes!$R$5:$R$604,"&lt;&gt;Unavailable")=0,"",_xlfn.MINIFS(Quotes!$M$5:$M$604,Quotes!$E$5:$E$604,$B52,Quotes!$G$5:$G$604,$C52,Quotes!$H$5:$H$604,$D52,Quotes!$J$5:$J$604,K$4,Quotes!$R$5:$R$604,"&lt;&gt;Unavailable"))</f>
        <v>2275.24920466596</v>
      </c>
      <c r="L52" s="24" t="n">
        <f aca="false">IF(COUNT(E52:K52)=0,"",MIN(E52:K52))</f>
        <v>1857.27465535525</v>
      </c>
      <c r="M52" s="25" t="str">
        <f aca="false">IF(L52="","",INDEX($E$4:$K$4,MATCH(L52,E52:K52,0)))</f>
        <v>Ottila</v>
      </c>
      <c r="N52" s="26" t="n">
        <f aca="false">IF(OR(K52="",COUNT(E52:J52)=0),"",K52-MIN(E52:J52))</f>
        <v>417.974549310711</v>
      </c>
    </row>
    <row r="53" customFormat="false" ht="23.85" hidden="false" customHeight="false" outlineLevel="0" collapsed="false">
      <c r="A53" s="22" t="s">
        <v>170</v>
      </c>
      <c r="B53" s="22" t="s">
        <v>175</v>
      </c>
      <c r="C53" s="22" t="s">
        <v>176</v>
      </c>
      <c r="D53" s="22" t="s">
        <v>75</v>
      </c>
      <c r="E53" s="23" t="str">
        <f aca="false">IF(COUNTIFS(Quotes!$E$5:$E$604,$B53,Quotes!$G$5:$G$604,$C53,Quotes!$H$5:$H$604,$D53,Quotes!$J$5:$J$604,E$4,Quotes!$R$5:$R$604,"&lt;&gt;Unavailable")=0,"",_xlfn.MINIFS(Quotes!$M$5:$M$604,Quotes!$E$5:$E$604,$B53,Quotes!$G$5:$G$604,$C53,Quotes!$H$5:$H$604,$D53,Quotes!$J$5:$J$604,E$4,Quotes!$R$5:$R$604,"&lt;&gt;Unavailable"))</f>
        <v/>
      </c>
      <c r="F53" s="23" t="str">
        <f aca="false">IF(COUNTIFS(Quotes!$E$5:$E$604,$B53,Quotes!$G$5:$G$604,$C53,Quotes!$H$5:$H$604,$D53,Quotes!$J$5:$J$604,F$4,Quotes!$R$5:$R$604,"&lt;&gt;Unavailable")=0,"",_xlfn.MINIFS(Quotes!$M$5:$M$604,Quotes!$E$5:$E$604,$B53,Quotes!$G$5:$G$604,$C53,Quotes!$H$5:$H$604,$D53,Quotes!$J$5:$J$604,F$4,Quotes!$R$5:$R$604,"&lt;&gt;Unavailable"))</f>
        <v/>
      </c>
      <c r="G53" s="23" t="str">
        <f aca="false">IF(COUNTIFS(Quotes!$E$5:$E$604,$B53,Quotes!$G$5:$G$604,$C53,Quotes!$H$5:$H$604,$D53,Quotes!$J$5:$J$604,G$4,Quotes!$R$5:$R$604,"&lt;&gt;Unavailable")=0,"",_xlfn.MINIFS(Quotes!$M$5:$M$604,Quotes!$E$5:$E$604,$B53,Quotes!$G$5:$G$604,$C53,Quotes!$H$5:$H$604,$D53,Quotes!$J$5:$J$604,G$4,Quotes!$R$5:$R$604,"&lt;&gt;Unavailable"))</f>
        <v/>
      </c>
      <c r="H53" s="23" t="str">
        <f aca="false">IF(COUNTIFS(Quotes!$E$5:$E$604,$B53,Quotes!$G$5:$G$604,$C53,Quotes!$H$5:$H$604,$D53,Quotes!$J$5:$J$604,H$4,Quotes!$R$5:$R$604,"&lt;&gt;Unavailable")=0,"",_xlfn.MINIFS(Quotes!$M$5:$M$604,Quotes!$E$5:$E$604,$B53,Quotes!$G$5:$G$604,$C53,Quotes!$H$5:$H$604,$D53,Quotes!$J$5:$J$604,H$4,Quotes!$R$5:$R$604,"&lt;&gt;Unavailable"))</f>
        <v/>
      </c>
      <c r="I53" s="23" t="n">
        <f aca="false">IF(COUNTIFS(Quotes!$E$5:$E$604,$B53,Quotes!$G$5:$G$604,$C53,Quotes!$H$5:$H$604,$D53,Quotes!$J$5:$J$604,I$4,Quotes!$R$5:$R$604,"&lt;&gt;Unavailable")=0,"",_xlfn.MINIFS(Quotes!$M$5:$M$604,Quotes!$E$5:$E$604,$B53,Quotes!$G$5:$G$604,$C53,Quotes!$H$5:$H$604,$D53,Quotes!$J$5:$J$604,I$4,Quotes!$R$5:$R$604,"&lt;&gt;Unavailable"))</f>
        <v>1283</v>
      </c>
      <c r="J53" s="23" t="str">
        <f aca="false">IF(COUNTIFS(Quotes!$E$5:$E$604,$B53,Quotes!$G$5:$G$604,$C53,Quotes!$H$5:$H$604,$D53,Quotes!$J$5:$J$604,J$4,Quotes!$R$5:$R$604,"&lt;&gt;Unavailable")=0,"",_xlfn.MINIFS(Quotes!$M$5:$M$604,Quotes!$E$5:$E$604,$B53,Quotes!$G$5:$G$604,$C53,Quotes!$H$5:$H$604,$D53,Quotes!$J$5:$J$604,J$4,Quotes!$R$5:$R$604,"&lt;&gt;Unavailable"))</f>
        <v/>
      </c>
      <c r="K53" s="23" t="n">
        <f aca="false">IF(COUNTIFS(Quotes!$E$5:$E$604,$B53,Quotes!$G$5:$G$604,$C53,Quotes!$H$5:$H$604,$D53,Quotes!$J$5:$J$604,K$4,Quotes!$R$5:$R$604,"&lt;&gt;Unavailable")=0,"",_xlfn.MINIFS(Quotes!$M$5:$M$604,Quotes!$E$5:$E$604,$B53,Quotes!$G$5:$G$604,$C53,Quotes!$H$5:$H$604,$D53,Quotes!$J$5:$J$604,K$4,Quotes!$R$5:$R$604,"&lt;&gt;Unavailable"))</f>
        <v>1359.84093319194</v>
      </c>
      <c r="L53" s="24" t="n">
        <f aca="false">IF(COUNT(E53:K53)=0,"",MIN(E53:K53))</f>
        <v>1283</v>
      </c>
      <c r="M53" s="25" t="str">
        <f aca="false">IF(L53="","",INDEX($E$4:$K$4,MATCH(L53,E53:K53,0)))</f>
        <v>Direct</v>
      </c>
      <c r="N53" s="26" t="n">
        <f aca="false">IF(OR(K53="",COUNT(E53:J53)=0),"",K53-MIN(E53:J53))</f>
        <v>76.8409331919406</v>
      </c>
    </row>
    <row r="54" customFormat="false" ht="23.85" hidden="false" customHeight="false" outlineLevel="0" collapsed="false">
      <c r="A54" s="22" t="s">
        <v>170</v>
      </c>
      <c r="B54" s="22" t="s">
        <v>175</v>
      </c>
      <c r="C54" s="22" t="s">
        <v>177</v>
      </c>
      <c r="D54" s="22" t="s">
        <v>104</v>
      </c>
      <c r="E54" s="23" t="str">
        <f aca="false">IF(COUNTIFS(Quotes!$E$5:$E$604,$B54,Quotes!$G$5:$G$604,$C54,Quotes!$H$5:$H$604,$D54,Quotes!$J$5:$J$604,E$4,Quotes!$R$5:$R$604,"&lt;&gt;Unavailable")=0,"",_xlfn.MINIFS(Quotes!$M$5:$M$604,Quotes!$E$5:$E$604,$B54,Quotes!$G$5:$G$604,$C54,Quotes!$H$5:$H$604,$D54,Quotes!$J$5:$J$604,E$4,Quotes!$R$5:$R$604,"&lt;&gt;Unavailable"))</f>
        <v/>
      </c>
      <c r="F54" s="23" t="str">
        <f aca="false">IF(COUNTIFS(Quotes!$E$5:$E$604,$B54,Quotes!$G$5:$G$604,$C54,Quotes!$H$5:$H$604,$D54,Quotes!$J$5:$J$604,F$4,Quotes!$R$5:$R$604,"&lt;&gt;Unavailable")=0,"",_xlfn.MINIFS(Quotes!$M$5:$M$604,Quotes!$E$5:$E$604,$B54,Quotes!$G$5:$G$604,$C54,Quotes!$H$5:$H$604,$D54,Quotes!$J$5:$J$604,F$4,Quotes!$R$5:$R$604,"&lt;&gt;Unavailable"))</f>
        <v/>
      </c>
      <c r="G54" s="23" t="str">
        <f aca="false">IF(COUNTIFS(Quotes!$E$5:$E$604,$B54,Quotes!$G$5:$G$604,$C54,Quotes!$H$5:$H$604,$D54,Quotes!$J$5:$J$604,G$4,Quotes!$R$5:$R$604,"&lt;&gt;Unavailable")=0,"",_xlfn.MINIFS(Quotes!$M$5:$M$604,Quotes!$E$5:$E$604,$B54,Quotes!$G$5:$G$604,$C54,Quotes!$H$5:$H$604,$D54,Quotes!$J$5:$J$604,G$4,Quotes!$R$5:$R$604,"&lt;&gt;Unavailable"))</f>
        <v/>
      </c>
      <c r="H54" s="23" t="n">
        <f aca="false">IF(COUNTIFS(Quotes!$E$5:$E$604,$B54,Quotes!$G$5:$G$604,$C54,Quotes!$H$5:$H$604,$D54,Quotes!$J$5:$J$604,H$4,Quotes!$R$5:$R$604,"&lt;&gt;Unavailable")=0,"",_xlfn.MINIFS(Quotes!$M$5:$M$604,Quotes!$E$5:$E$604,$B54,Quotes!$G$5:$G$604,$C54,Quotes!$H$5:$H$604,$D54,Quotes!$J$5:$J$604,H$4,Quotes!$R$5:$R$604,"&lt;&gt;Unavailable"))</f>
        <v>1019.88</v>
      </c>
      <c r="I54" s="23" t="str">
        <f aca="false">IF(COUNTIFS(Quotes!$E$5:$E$604,$B54,Quotes!$G$5:$G$604,$C54,Quotes!$H$5:$H$604,$D54,Quotes!$J$5:$J$604,I$4,Quotes!$R$5:$R$604,"&lt;&gt;Unavailable")=0,"",_xlfn.MINIFS(Quotes!$M$5:$M$604,Quotes!$E$5:$E$604,$B54,Quotes!$G$5:$G$604,$C54,Quotes!$H$5:$H$604,$D54,Quotes!$J$5:$J$604,I$4,Quotes!$R$5:$R$604,"&lt;&gt;Unavailable"))</f>
        <v/>
      </c>
      <c r="J54" s="23" t="str">
        <f aca="false">IF(COUNTIFS(Quotes!$E$5:$E$604,$B54,Quotes!$G$5:$G$604,$C54,Quotes!$H$5:$H$604,$D54,Quotes!$J$5:$J$604,J$4,Quotes!$R$5:$R$604,"&lt;&gt;Unavailable")=0,"",_xlfn.MINIFS(Quotes!$M$5:$M$604,Quotes!$E$5:$E$604,$B54,Quotes!$G$5:$G$604,$C54,Quotes!$H$5:$H$604,$D54,Quotes!$J$5:$J$604,J$4,Quotes!$R$5:$R$604,"&lt;&gt;Unavailable"))</f>
        <v/>
      </c>
      <c r="K54" s="23" t="str">
        <f aca="false">IF(COUNTIFS(Quotes!$E$5:$E$604,$B54,Quotes!$G$5:$G$604,$C54,Quotes!$H$5:$H$604,$D54,Quotes!$J$5:$J$604,K$4,Quotes!$R$5:$R$604,"&lt;&gt;Unavailable")=0,"",_xlfn.MINIFS(Quotes!$M$5:$M$604,Quotes!$E$5:$E$604,$B54,Quotes!$G$5:$G$604,$C54,Quotes!$H$5:$H$604,$D54,Quotes!$J$5:$J$604,K$4,Quotes!$R$5:$R$604,"&lt;&gt;Unavailable"))</f>
        <v/>
      </c>
      <c r="L54" s="24" t="n">
        <f aca="false">IF(COUNT(E54:K54)=0,"",MIN(E54:K54))</f>
        <v>1019.88</v>
      </c>
      <c r="M54" s="25" t="str">
        <f aca="false">IF(L54="","",INDEX($E$4:$K$4,MATCH(L54,E54:K54,0)))</f>
        <v>Helanka</v>
      </c>
      <c r="N54" s="26" t="str">
        <f aca="false">IF(OR(K54="",COUNT(E54:J54)=0),"",K54-MIN(E54:J54))</f>
        <v/>
      </c>
    </row>
    <row r="55" customFormat="false" ht="23.85" hidden="false" customHeight="false" outlineLevel="0" collapsed="false">
      <c r="A55" s="22" t="s">
        <v>170</v>
      </c>
      <c r="B55" s="22" t="s">
        <v>175</v>
      </c>
      <c r="C55" s="22" t="s">
        <v>179</v>
      </c>
      <c r="D55" s="22" t="s">
        <v>104</v>
      </c>
      <c r="E55" s="23" t="str">
        <f aca="false">IF(COUNTIFS(Quotes!$E$5:$E$604,$B55,Quotes!$G$5:$G$604,$C55,Quotes!$H$5:$H$604,$D55,Quotes!$J$5:$J$604,E$4,Quotes!$R$5:$R$604,"&lt;&gt;Unavailable")=0,"",_xlfn.MINIFS(Quotes!$M$5:$M$604,Quotes!$E$5:$E$604,$B55,Quotes!$G$5:$G$604,$C55,Quotes!$H$5:$H$604,$D55,Quotes!$J$5:$J$604,E$4,Quotes!$R$5:$R$604,"&lt;&gt;Unavailable"))</f>
        <v/>
      </c>
      <c r="F55" s="23" t="str">
        <f aca="false">IF(COUNTIFS(Quotes!$E$5:$E$604,$B55,Quotes!$G$5:$G$604,$C55,Quotes!$H$5:$H$604,$D55,Quotes!$J$5:$J$604,F$4,Quotes!$R$5:$R$604,"&lt;&gt;Unavailable")=0,"",_xlfn.MINIFS(Quotes!$M$5:$M$604,Quotes!$E$5:$E$604,$B55,Quotes!$G$5:$G$604,$C55,Quotes!$H$5:$H$604,$D55,Quotes!$J$5:$J$604,F$4,Quotes!$R$5:$R$604,"&lt;&gt;Unavailable"))</f>
        <v/>
      </c>
      <c r="G55" s="23" t="str">
        <f aca="false">IF(COUNTIFS(Quotes!$E$5:$E$604,$B55,Quotes!$G$5:$G$604,$C55,Quotes!$H$5:$H$604,$D55,Quotes!$J$5:$J$604,G$4,Quotes!$R$5:$R$604,"&lt;&gt;Unavailable")=0,"",_xlfn.MINIFS(Quotes!$M$5:$M$604,Quotes!$E$5:$E$604,$B55,Quotes!$G$5:$G$604,$C55,Quotes!$H$5:$H$604,$D55,Quotes!$J$5:$J$604,G$4,Quotes!$R$5:$R$604,"&lt;&gt;Unavailable"))</f>
        <v/>
      </c>
      <c r="H55" s="23" t="n">
        <f aca="false">IF(COUNTIFS(Quotes!$E$5:$E$604,$B55,Quotes!$G$5:$G$604,$C55,Quotes!$H$5:$H$604,$D55,Quotes!$J$5:$J$604,H$4,Quotes!$R$5:$R$604,"&lt;&gt;Unavailable")=0,"",_xlfn.MINIFS(Quotes!$M$5:$M$604,Quotes!$E$5:$E$604,$B55,Quotes!$G$5:$G$604,$C55,Quotes!$H$5:$H$604,$D55,Quotes!$J$5:$J$604,H$4,Quotes!$R$5:$R$604,"&lt;&gt;Unavailable"))</f>
        <v>1066</v>
      </c>
      <c r="I55" s="23" t="str">
        <f aca="false">IF(COUNTIFS(Quotes!$E$5:$E$604,$B55,Quotes!$G$5:$G$604,$C55,Quotes!$H$5:$H$604,$D55,Quotes!$J$5:$J$604,I$4,Quotes!$R$5:$R$604,"&lt;&gt;Unavailable")=0,"",_xlfn.MINIFS(Quotes!$M$5:$M$604,Quotes!$E$5:$E$604,$B55,Quotes!$G$5:$G$604,$C55,Quotes!$H$5:$H$604,$D55,Quotes!$J$5:$J$604,I$4,Quotes!$R$5:$R$604,"&lt;&gt;Unavailable"))</f>
        <v/>
      </c>
      <c r="J55" s="23" t="str">
        <f aca="false">IF(COUNTIFS(Quotes!$E$5:$E$604,$B55,Quotes!$G$5:$G$604,$C55,Quotes!$H$5:$H$604,$D55,Quotes!$J$5:$J$604,J$4,Quotes!$R$5:$R$604,"&lt;&gt;Unavailable")=0,"",_xlfn.MINIFS(Quotes!$M$5:$M$604,Quotes!$E$5:$E$604,$B55,Quotes!$G$5:$G$604,$C55,Quotes!$H$5:$H$604,$D55,Quotes!$J$5:$J$604,J$4,Quotes!$R$5:$R$604,"&lt;&gt;Unavailable"))</f>
        <v/>
      </c>
      <c r="K55" s="23" t="str">
        <f aca="false">IF(COUNTIFS(Quotes!$E$5:$E$604,$B55,Quotes!$G$5:$G$604,$C55,Quotes!$H$5:$H$604,$D55,Quotes!$J$5:$J$604,K$4,Quotes!$R$5:$R$604,"&lt;&gt;Unavailable")=0,"",_xlfn.MINIFS(Quotes!$M$5:$M$604,Quotes!$E$5:$E$604,$B55,Quotes!$G$5:$G$604,$C55,Quotes!$H$5:$H$604,$D55,Quotes!$J$5:$J$604,K$4,Quotes!$R$5:$R$604,"&lt;&gt;Unavailable"))</f>
        <v/>
      </c>
      <c r="L55" s="24" t="n">
        <f aca="false">IF(COUNT(E55:K55)=0,"",MIN(E55:K55))</f>
        <v>1066</v>
      </c>
      <c r="M55" s="25" t="str">
        <f aca="false">IF(L55="","",INDEX($E$4:$K$4,MATCH(L55,E55:K55,0)))</f>
        <v>Helanka</v>
      </c>
      <c r="N55" s="26" t="str">
        <f aca="false">IF(OR(K55="",COUNT(E55:J55)=0),"",K55-MIN(E55:J55))</f>
        <v/>
      </c>
    </row>
    <row r="56" customFormat="false" ht="15" hidden="false" customHeight="false" outlineLevel="0" collapsed="false">
      <c r="A56" s="22" t="s">
        <v>170</v>
      </c>
      <c r="B56" s="22" t="s">
        <v>180</v>
      </c>
      <c r="C56" s="22" t="s">
        <v>153</v>
      </c>
      <c r="D56" s="22" t="s">
        <v>75</v>
      </c>
      <c r="E56" s="23" t="str">
        <f aca="false">IF(COUNTIFS(Quotes!$E$5:$E$604,$B56,Quotes!$G$5:$G$604,$C56,Quotes!$H$5:$H$604,$D56,Quotes!$J$5:$J$604,E$4,Quotes!$R$5:$R$604,"&lt;&gt;Unavailable")=0,"",_xlfn.MINIFS(Quotes!$M$5:$M$604,Quotes!$E$5:$E$604,$B56,Quotes!$G$5:$G$604,$C56,Quotes!$H$5:$H$604,$D56,Quotes!$J$5:$J$604,E$4,Quotes!$R$5:$R$604,"&lt;&gt;Unavailable"))</f>
        <v/>
      </c>
      <c r="F56" s="23" t="str">
        <f aca="false">IF(COUNTIFS(Quotes!$E$5:$E$604,$B56,Quotes!$G$5:$G$604,$C56,Quotes!$H$5:$H$604,$D56,Quotes!$J$5:$J$604,F$4,Quotes!$R$5:$R$604,"&lt;&gt;Unavailable")=0,"",_xlfn.MINIFS(Quotes!$M$5:$M$604,Quotes!$E$5:$E$604,$B56,Quotes!$G$5:$G$604,$C56,Quotes!$H$5:$H$604,$D56,Quotes!$J$5:$J$604,F$4,Quotes!$R$5:$R$604,"&lt;&gt;Unavailable"))</f>
        <v/>
      </c>
      <c r="G56" s="23" t="str">
        <f aca="false">IF(COUNTIFS(Quotes!$E$5:$E$604,$B56,Quotes!$G$5:$G$604,$C56,Quotes!$H$5:$H$604,$D56,Quotes!$J$5:$J$604,G$4,Quotes!$R$5:$R$604,"&lt;&gt;Unavailable")=0,"",_xlfn.MINIFS(Quotes!$M$5:$M$604,Quotes!$E$5:$E$604,$B56,Quotes!$G$5:$G$604,$C56,Quotes!$H$5:$H$604,$D56,Quotes!$J$5:$J$604,G$4,Quotes!$R$5:$R$604,"&lt;&gt;Unavailable"))</f>
        <v/>
      </c>
      <c r="H56" s="23" t="str">
        <f aca="false">IF(COUNTIFS(Quotes!$E$5:$E$604,$B56,Quotes!$G$5:$G$604,$C56,Quotes!$H$5:$H$604,$D56,Quotes!$J$5:$J$604,H$4,Quotes!$R$5:$R$604,"&lt;&gt;Unavailable")=0,"",_xlfn.MINIFS(Quotes!$M$5:$M$604,Quotes!$E$5:$E$604,$B56,Quotes!$G$5:$G$604,$C56,Quotes!$H$5:$H$604,$D56,Quotes!$J$5:$J$604,H$4,Quotes!$R$5:$R$604,"&lt;&gt;Unavailable"))</f>
        <v/>
      </c>
      <c r="I56" s="23" t="n">
        <f aca="false">IF(COUNTIFS(Quotes!$E$5:$E$604,$B56,Quotes!$G$5:$G$604,$C56,Quotes!$H$5:$H$604,$D56,Quotes!$J$5:$J$604,I$4,Quotes!$R$5:$R$604,"&lt;&gt;Unavailable")=0,"",_xlfn.MINIFS(Quotes!$M$5:$M$604,Quotes!$E$5:$E$604,$B56,Quotes!$G$5:$G$604,$C56,Quotes!$H$5:$H$604,$D56,Quotes!$J$5:$J$604,I$4,Quotes!$R$5:$R$604,"&lt;&gt;Unavailable"))</f>
        <v>1385</v>
      </c>
      <c r="J56" s="23" t="str">
        <f aca="false">IF(COUNTIFS(Quotes!$E$5:$E$604,$B56,Quotes!$G$5:$G$604,$C56,Quotes!$H$5:$H$604,$D56,Quotes!$J$5:$J$604,J$4,Quotes!$R$5:$R$604,"&lt;&gt;Unavailable")=0,"",_xlfn.MINIFS(Quotes!$M$5:$M$604,Quotes!$E$5:$E$604,$B56,Quotes!$G$5:$G$604,$C56,Quotes!$H$5:$H$604,$D56,Quotes!$J$5:$J$604,J$4,Quotes!$R$5:$R$604,"&lt;&gt;Unavailable"))</f>
        <v/>
      </c>
      <c r="K56" s="23" t="n">
        <f aca="false">IF(COUNTIFS(Quotes!$E$5:$E$604,$B56,Quotes!$G$5:$G$604,$C56,Quotes!$H$5:$H$604,$D56,Quotes!$J$5:$J$604,K$4,Quotes!$R$5:$R$604,"&lt;&gt;Unavailable")=0,"",_xlfn.MINIFS(Quotes!$M$5:$M$604,Quotes!$E$5:$E$604,$B56,Quotes!$G$5:$G$604,$C56,Quotes!$H$5:$H$604,$D56,Quotes!$J$5:$J$604,K$4,Quotes!$R$5:$R$604,"&lt;&gt;Unavailable"))</f>
        <v>1467.44432661718</v>
      </c>
      <c r="L56" s="24" t="n">
        <f aca="false">IF(COUNT(E56:K56)=0,"",MIN(E56:K56))</f>
        <v>1385</v>
      </c>
      <c r="M56" s="25" t="str">
        <f aca="false">IF(L56="","",INDEX($E$4:$K$4,MATCH(L56,E56:K56,0)))</f>
        <v>Direct</v>
      </c>
      <c r="N56" s="26" t="n">
        <f aca="false">IF(OR(K56="",COUNT(E56:J56)=0),"",K56-MIN(E56:J56))</f>
        <v>82.4443266171793</v>
      </c>
    </row>
    <row r="57" customFormat="false" ht="15" hidden="false" customHeight="false" outlineLevel="0" collapsed="false">
      <c r="A57" s="22" t="s">
        <v>181</v>
      </c>
      <c r="B57" s="22" t="s">
        <v>182</v>
      </c>
      <c r="C57" s="22" t="s">
        <v>183</v>
      </c>
      <c r="D57" s="22" t="s">
        <v>75</v>
      </c>
      <c r="E57" s="23" t="n">
        <f aca="false">IF(COUNTIFS(Quotes!$E$5:$E$604,$B57,Quotes!$G$5:$G$604,$C57,Quotes!$H$5:$H$604,$D57,Quotes!$J$5:$J$604,E$4,Quotes!$R$5:$R$604,"&lt;&gt;Unavailable")=0,"",_xlfn.MINIFS(Quotes!$M$5:$M$604,Quotes!$E$5:$E$604,$B57,Quotes!$G$5:$G$604,$C57,Quotes!$H$5:$H$604,$D57,Quotes!$J$5:$J$604,E$4,Quotes!$R$5:$R$604,"&lt;&gt;Unavailable"))</f>
        <v>4296.67020148462</v>
      </c>
      <c r="F57" s="23" t="str">
        <f aca="false">IF(COUNTIFS(Quotes!$E$5:$E$604,$B57,Quotes!$G$5:$G$604,$C57,Quotes!$H$5:$H$604,$D57,Quotes!$J$5:$J$604,F$4,Quotes!$R$5:$R$604,"&lt;&gt;Unavailable")=0,"",_xlfn.MINIFS(Quotes!$M$5:$M$604,Quotes!$E$5:$E$604,$B57,Quotes!$G$5:$G$604,$C57,Quotes!$H$5:$H$604,$D57,Quotes!$J$5:$J$604,F$4,Quotes!$R$5:$R$604,"&lt;&gt;Unavailable"))</f>
        <v/>
      </c>
      <c r="G57" s="23" t="str">
        <f aca="false">IF(COUNTIFS(Quotes!$E$5:$E$604,$B57,Quotes!$G$5:$G$604,$C57,Quotes!$H$5:$H$604,$D57,Quotes!$J$5:$J$604,G$4,Quotes!$R$5:$R$604,"&lt;&gt;Unavailable")=0,"",_xlfn.MINIFS(Quotes!$M$5:$M$604,Quotes!$E$5:$E$604,$B57,Quotes!$G$5:$G$604,$C57,Quotes!$H$5:$H$604,$D57,Quotes!$J$5:$J$604,G$4,Quotes!$R$5:$R$604,"&lt;&gt;Unavailable"))</f>
        <v/>
      </c>
      <c r="H57" s="23" t="str">
        <f aca="false">IF(COUNTIFS(Quotes!$E$5:$E$604,$B57,Quotes!$G$5:$G$604,$C57,Quotes!$H$5:$H$604,$D57,Quotes!$J$5:$J$604,H$4,Quotes!$R$5:$R$604,"&lt;&gt;Unavailable")=0,"",_xlfn.MINIFS(Quotes!$M$5:$M$604,Quotes!$E$5:$E$604,$B57,Quotes!$G$5:$G$604,$C57,Quotes!$H$5:$H$604,$D57,Quotes!$J$5:$J$604,H$4,Quotes!$R$5:$R$604,"&lt;&gt;Unavailable"))</f>
        <v/>
      </c>
      <c r="I57" s="23" t="str">
        <f aca="false">IF(COUNTIFS(Quotes!$E$5:$E$604,$B57,Quotes!$G$5:$G$604,$C57,Quotes!$H$5:$H$604,$D57,Quotes!$J$5:$J$604,I$4,Quotes!$R$5:$R$604,"&lt;&gt;Unavailable")=0,"",_xlfn.MINIFS(Quotes!$M$5:$M$604,Quotes!$E$5:$E$604,$B57,Quotes!$G$5:$G$604,$C57,Quotes!$H$5:$H$604,$D57,Quotes!$J$5:$J$604,I$4,Quotes!$R$5:$R$604,"&lt;&gt;Unavailable"))</f>
        <v/>
      </c>
      <c r="J57" s="23" t="str">
        <f aca="false">IF(COUNTIFS(Quotes!$E$5:$E$604,$B57,Quotes!$G$5:$G$604,$C57,Quotes!$H$5:$H$604,$D57,Quotes!$J$5:$J$604,J$4,Quotes!$R$5:$R$604,"&lt;&gt;Unavailable")=0,"",_xlfn.MINIFS(Quotes!$M$5:$M$604,Quotes!$E$5:$E$604,$B57,Quotes!$G$5:$G$604,$C57,Quotes!$H$5:$H$604,$D57,Quotes!$J$5:$J$604,J$4,Quotes!$R$5:$R$604,"&lt;&gt;Unavailable"))</f>
        <v/>
      </c>
      <c r="K57" s="23" t="n">
        <f aca="false">IF(COUNTIFS(Quotes!$E$5:$E$604,$B57,Quotes!$G$5:$G$604,$C57,Quotes!$H$5:$H$604,$D57,Quotes!$J$5:$J$604,K$4,Quotes!$R$5:$R$604,"&lt;&gt;Unavailable")=0,"",_xlfn.MINIFS(Quotes!$M$5:$M$604,Quotes!$E$5:$E$604,$B57,Quotes!$G$5:$G$604,$C57,Quotes!$H$5:$H$604,$D57,Quotes!$J$5:$J$604,K$4,Quotes!$R$5:$R$604,"&lt;&gt;Unavailable"))</f>
        <v>4474</v>
      </c>
      <c r="L57" s="24" t="n">
        <f aca="false">IF(COUNT(E57:K57)=0,"",MIN(E57:K57))</f>
        <v>4296.67020148462</v>
      </c>
      <c r="M57" s="25" t="str">
        <f aca="false">IF(L57="","",INDEX($E$4:$K$4,MATCH(L57,E57:K57,0)))</f>
        <v>Ottila</v>
      </c>
      <c r="N57" s="26" t="n">
        <f aca="false">IF(OR(K57="",COUNT(E57:J57)=0),"",K57-MIN(E57:J57))</f>
        <v>177.329798515377</v>
      </c>
    </row>
    <row r="58" customFormat="false" ht="23.85" hidden="false" customHeight="false" outlineLevel="0" collapsed="false">
      <c r="A58" s="22" t="s">
        <v>181</v>
      </c>
      <c r="B58" s="22" t="s">
        <v>184</v>
      </c>
      <c r="C58" s="22" t="s">
        <v>185</v>
      </c>
      <c r="D58" s="22" t="s">
        <v>75</v>
      </c>
      <c r="E58" s="23" t="n">
        <f aca="false">IF(COUNTIFS(Quotes!$E$5:$E$604,$B58,Quotes!$G$5:$G$604,$C58,Quotes!$H$5:$H$604,$D58,Quotes!$J$5:$J$604,E$4,Quotes!$R$5:$R$604,"&lt;&gt;Unavailable")=0,"",_xlfn.MINIFS(Quotes!$M$5:$M$604,Quotes!$E$5:$E$604,$B58,Quotes!$G$5:$G$604,$C58,Quotes!$H$5:$H$604,$D58,Quotes!$J$5:$J$604,E$4,Quotes!$R$5:$R$604,"&lt;&gt;Unavailable"))</f>
        <v>4135.74761399788</v>
      </c>
      <c r="F58" s="23" t="str">
        <f aca="false">IF(COUNTIFS(Quotes!$E$5:$E$604,$B58,Quotes!$G$5:$G$604,$C58,Quotes!$H$5:$H$604,$D58,Quotes!$J$5:$J$604,F$4,Quotes!$R$5:$R$604,"&lt;&gt;Unavailable")=0,"",_xlfn.MINIFS(Quotes!$M$5:$M$604,Quotes!$E$5:$E$604,$B58,Quotes!$G$5:$G$604,$C58,Quotes!$H$5:$H$604,$D58,Quotes!$J$5:$J$604,F$4,Quotes!$R$5:$R$604,"&lt;&gt;Unavailable"))</f>
        <v/>
      </c>
      <c r="G58" s="23" t="str">
        <f aca="false">IF(COUNTIFS(Quotes!$E$5:$E$604,$B58,Quotes!$G$5:$G$604,$C58,Quotes!$H$5:$H$604,$D58,Quotes!$J$5:$J$604,G$4,Quotes!$R$5:$R$604,"&lt;&gt;Unavailable")=0,"",_xlfn.MINIFS(Quotes!$M$5:$M$604,Quotes!$E$5:$E$604,$B58,Quotes!$G$5:$G$604,$C58,Quotes!$H$5:$H$604,$D58,Quotes!$J$5:$J$604,G$4,Quotes!$R$5:$R$604,"&lt;&gt;Unavailable"))</f>
        <v/>
      </c>
      <c r="H58" s="23" t="str">
        <f aca="false">IF(COUNTIFS(Quotes!$E$5:$E$604,$B58,Quotes!$G$5:$G$604,$C58,Quotes!$H$5:$H$604,$D58,Quotes!$J$5:$J$604,H$4,Quotes!$R$5:$R$604,"&lt;&gt;Unavailable")=0,"",_xlfn.MINIFS(Quotes!$M$5:$M$604,Quotes!$E$5:$E$604,$B58,Quotes!$G$5:$G$604,$C58,Quotes!$H$5:$H$604,$D58,Quotes!$J$5:$J$604,H$4,Quotes!$R$5:$R$604,"&lt;&gt;Unavailable"))</f>
        <v/>
      </c>
      <c r="I58" s="23" t="str">
        <f aca="false">IF(COUNTIFS(Quotes!$E$5:$E$604,$B58,Quotes!$G$5:$G$604,$C58,Quotes!$H$5:$H$604,$D58,Quotes!$J$5:$J$604,I$4,Quotes!$R$5:$R$604,"&lt;&gt;Unavailable")=0,"",_xlfn.MINIFS(Quotes!$M$5:$M$604,Quotes!$E$5:$E$604,$B58,Quotes!$G$5:$G$604,$C58,Quotes!$H$5:$H$604,$D58,Quotes!$J$5:$J$604,I$4,Quotes!$R$5:$R$604,"&lt;&gt;Unavailable"))</f>
        <v/>
      </c>
      <c r="J58" s="23" t="str">
        <f aca="false">IF(COUNTIFS(Quotes!$E$5:$E$604,$B58,Quotes!$G$5:$G$604,$C58,Quotes!$H$5:$H$604,$D58,Quotes!$J$5:$J$604,J$4,Quotes!$R$5:$R$604,"&lt;&gt;Unavailable")=0,"",_xlfn.MINIFS(Quotes!$M$5:$M$604,Quotes!$E$5:$E$604,$B58,Quotes!$G$5:$G$604,$C58,Quotes!$H$5:$H$604,$D58,Quotes!$J$5:$J$604,J$4,Quotes!$R$5:$R$604,"&lt;&gt;Unavailable"))</f>
        <v/>
      </c>
      <c r="K58" s="23" t="str">
        <f aca="false">IF(COUNTIFS(Quotes!$E$5:$E$604,$B58,Quotes!$G$5:$G$604,$C58,Quotes!$H$5:$H$604,$D58,Quotes!$J$5:$J$604,K$4,Quotes!$R$5:$R$604,"&lt;&gt;Unavailable")=0,"",_xlfn.MINIFS(Quotes!$M$5:$M$604,Quotes!$E$5:$E$604,$B58,Quotes!$G$5:$G$604,$C58,Quotes!$H$5:$H$604,$D58,Quotes!$J$5:$J$604,K$4,Quotes!$R$5:$R$604,"&lt;&gt;Unavailable"))</f>
        <v/>
      </c>
      <c r="L58" s="24" t="n">
        <f aca="false">IF(COUNT(E58:K58)=0,"",MIN(E58:K58))</f>
        <v>4135.74761399788</v>
      </c>
      <c r="M58" s="25" t="str">
        <f aca="false">IF(L58="","",INDEX($E$4:$K$4,MATCH(L58,E58:K58,0)))</f>
        <v>Ottila</v>
      </c>
      <c r="N58" s="26" t="str">
        <f aca="false">IF(OR(K58="",COUNT(E58:J58)=0),"",K58-MIN(E58:J58))</f>
        <v/>
      </c>
    </row>
    <row r="59" customFormat="false" ht="23.85" hidden="false" customHeight="false" outlineLevel="0" collapsed="false">
      <c r="A59" s="22" t="s">
        <v>181</v>
      </c>
      <c r="B59" s="22" t="s">
        <v>186</v>
      </c>
      <c r="C59" s="22" t="s">
        <v>187</v>
      </c>
      <c r="D59" s="22" t="s">
        <v>104</v>
      </c>
      <c r="E59" s="23" t="str">
        <f aca="false">IF(COUNTIFS(Quotes!$E$5:$E$604,$B59,Quotes!$G$5:$G$604,$C59,Quotes!$H$5:$H$604,$D59,Quotes!$J$5:$J$604,E$4,Quotes!$R$5:$R$604,"&lt;&gt;Unavailable")=0,"",_xlfn.MINIFS(Quotes!$M$5:$M$604,Quotes!$E$5:$E$604,$B59,Quotes!$G$5:$G$604,$C59,Quotes!$H$5:$H$604,$D59,Quotes!$J$5:$J$604,E$4,Quotes!$R$5:$R$604,"&lt;&gt;Unavailable"))</f>
        <v/>
      </c>
      <c r="F59" s="23" t="str">
        <f aca="false">IF(COUNTIFS(Quotes!$E$5:$E$604,$B59,Quotes!$G$5:$G$604,$C59,Quotes!$H$5:$H$604,$D59,Quotes!$J$5:$J$604,F$4,Quotes!$R$5:$R$604,"&lt;&gt;Unavailable")=0,"",_xlfn.MINIFS(Quotes!$M$5:$M$604,Quotes!$E$5:$E$604,$B59,Quotes!$G$5:$G$604,$C59,Quotes!$H$5:$H$604,$D59,Quotes!$J$5:$J$604,F$4,Quotes!$R$5:$R$604,"&lt;&gt;Unavailable"))</f>
        <v/>
      </c>
      <c r="G59" s="23" t="n">
        <f aca="false">IF(COUNTIFS(Quotes!$E$5:$E$604,$B59,Quotes!$G$5:$G$604,$C59,Quotes!$H$5:$H$604,$D59,Quotes!$J$5:$J$604,G$4,Quotes!$R$5:$R$604,"&lt;&gt;Unavailable")=0,"",_xlfn.MINIFS(Quotes!$M$5:$M$604,Quotes!$E$5:$E$604,$B59,Quotes!$G$5:$G$604,$C59,Quotes!$H$5:$H$604,$D59,Quotes!$J$5:$J$604,G$4,Quotes!$R$5:$R$604,"&lt;&gt;Unavailable"))</f>
        <v>4100</v>
      </c>
      <c r="H59" s="23" t="str">
        <f aca="false">IF(COUNTIFS(Quotes!$E$5:$E$604,$B59,Quotes!$G$5:$G$604,$C59,Quotes!$H$5:$H$604,$D59,Quotes!$J$5:$J$604,H$4,Quotes!$R$5:$R$604,"&lt;&gt;Unavailable")=0,"",_xlfn.MINIFS(Quotes!$M$5:$M$604,Quotes!$E$5:$E$604,$B59,Quotes!$G$5:$G$604,$C59,Quotes!$H$5:$H$604,$D59,Quotes!$J$5:$J$604,H$4,Quotes!$R$5:$R$604,"&lt;&gt;Unavailable"))</f>
        <v/>
      </c>
      <c r="I59" s="23" t="str">
        <f aca="false">IF(COUNTIFS(Quotes!$E$5:$E$604,$B59,Quotes!$G$5:$G$604,$C59,Quotes!$H$5:$H$604,$D59,Quotes!$J$5:$J$604,I$4,Quotes!$R$5:$R$604,"&lt;&gt;Unavailable")=0,"",_xlfn.MINIFS(Quotes!$M$5:$M$604,Quotes!$E$5:$E$604,$B59,Quotes!$G$5:$G$604,$C59,Quotes!$H$5:$H$604,$D59,Quotes!$J$5:$J$604,I$4,Quotes!$R$5:$R$604,"&lt;&gt;Unavailable"))</f>
        <v/>
      </c>
      <c r="J59" s="23" t="str">
        <f aca="false">IF(COUNTIFS(Quotes!$E$5:$E$604,$B59,Quotes!$G$5:$G$604,$C59,Quotes!$H$5:$H$604,$D59,Quotes!$J$5:$J$604,J$4,Quotes!$R$5:$R$604,"&lt;&gt;Unavailable")=0,"",_xlfn.MINIFS(Quotes!$M$5:$M$604,Quotes!$E$5:$E$604,$B59,Quotes!$G$5:$G$604,$C59,Quotes!$H$5:$H$604,$D59,Quotes!$J$5:$J$604,J$4,Quotes!$R$5:$R$604,"&lt;&gt;Unavailable"))</f>
        <v/>
      </c>
      <c r="K59" s="23" t="n">
        <f aca="false">IF(COUNTIFS(Quotes!$E$5:$E$604,$B59,Quotes!$G$5:$G$604,$C59,Quotes!$H$5:$H$604,$D59,Quotes!$J$5:$J$604,K$4,Quotes!$R$5:$R$604,"&lt;&gt;Unavailable")=0,"",_xlfn.MINIFS(Quotes!$M$5:$M$604,Quotes!$E$5:$E$604,$B59,Quotes!$G$5:$G$604,$C59,Quotes!$H$5:$H$604,$D59,Quotes!$J$5:$J$604,K$4,Quotes!$R$5:$R$604,"&lt;&gt;Unavailable"))</f>
        <v>5020.44538706257</v>
      </c>
      <c r="L59" s="24" t="n">
        <f aca="false">IF(COUNT(E59:K59)=0,"",MIN(E59:K59))</f>
        <v>4100</v>
      </c>
      <c r="M59" s="25" t="str">
        <f aca="false">IF(L59="","",INDEX($E$4:$K$4,MATCH(L59,E59:K59,0)))</f>
        <v>BTR</v>
      </c>
      <c r="N59" s="26" t="n">
        <f aca="false">IF(OR(K59="",COUNT(E59:J59)=0),"",K59-MIN(E59:J59))</f>
        <v>920.445387062567</v>
      </c>
    </row>
    <row r="60" customFormat="false" ht="23.85" hidden="false" customHeight="false" outlineLevel="0" collapsed="false">
      <c r="A60" s="22" t="s">
        <v>181</v>
      </c>
      <c r="B60" s="22" t="s">
        <v>184</v>
      </c>
      <c r="C60" s="22" t="s">
        <v>188</v>
      </c>
      <c r="D60" s="22" t="s">
        <v>75</v>
      </c>
      <c r="E60" s="23" t="str">
        <f aca="false">IF(COUNTIFS(Quotes!$E$5:$E$604,$B60,Quotes!$G$5:$G$604,$C60,Quotes!$H$5:$H$604,$D60,Quotes!$J$5:$J$604,E$4,Quotes!$R$5:$R$604,"&lt;&gt;Unavailable")=0,"",_xlfn.MINIFS(Quotes!$M$5:$M$604,Quotes!$E$5:$E$604,$B60,Quotes!$G$5:$G$604,$C60,Quotes!$H$5:$H$604,$D60,Quotes!$J$5:$J$604,E$4,Quotes!$R$5:$R$604,"&lt;&gt;Unavailable"))</f>
        <v/>
      </c>
      <c r="F60" s="23" t="n">
        <f aca="false">IF(COUNTIFS(Quotes!$E$5:$E$604,$B60,Quotes!$G$5:$G$604,$C60,Quotes!$H$5:$H$604,$D60,Quotes!$J$5:$J$604,F$4,Quotes!$R$5:$R$604,"&lt;&gt;Unavailable")=0,"",_xlfn.MINIFS(Quotes!$M$5:$M$604,Quotes!$E$5:$E$604,$B60,Quotes!$G$5:$G$604,$C60,Quotes!$H$5:$H$604,$D60,Quotes!$J$5:$J$604,F$4,Quotes!$R$5:$R$604,"&lt;&gt;Unavailable"))</f>
        <v>3294.59172852598</v>
      </c>
      <c r="G60" s="23" t="str">
        <f aca="false">IF(COUNTIFS(Quotes!$E$5:$E$604,$B60,Quotes!$G$5:$G$604,$C60,Quotes!$H$5:$H$604,$D60,Quotes!$J$5:$J$604,G$4,Quotes!$R$5:$R$604,"&lt;&gt;Unavailable")=0,"",_xlfn.MINIFS(Quotes!$M$5:$M$604,Quotes!$E$5:$E$604,$B60,Quotes!$G$5:$G$604,$C60,Quotes!$H$5:$H$604,$D60,Quotes!$J$5:$J$604,G$4,Quotes!$R$5:$R$604,"&lt;&gt;Unavailable"))</f>
        <v/>
      </c>
      <c r="H60" s="23" t="str">
        <f aca="false">IF(COUNTIFS(Quotes!$E$5:$E$604,$B60,Quotes!$G$5:$G$604,$C60,Quotes!$H$5:$H$604,$D60,Quotes!$J$5:$J$604,H$4,Quotes!$R$5:$R$604,"&lt;&gt;Unavailable")=0,"",_xlfn.MINIFS(Quotes!$M$5:$M$604,Quotes!$E$5:$E$604,$B60,Quotes!$G$5:$G$604,$C60,Quotes!$H$5:$H$604,$D60,Quotes!$J$5:$J$604,H$4,Quotes!$R$5:$R$604,"&lt;&gt;Unavailable"))</f>
        <v/>
      </c>
      <c r="I60" s="23" t="str">
        <f aca="false">IF(COUNTIFS(Quotes!$E$5:$E$604,$B60,Quotes!$G$5:$G$604,$C60,Quotes!$H$5:$H$604,$D60,Quotes!$J$5:$J$604,I$4,Quotes!$R$5:$R$604,"&lt;&gt;Unavailable")=0,"",_xlfn.MINIFS(Quotes!$M$5:$M$604,Quotes!$E$5:$E$604,$B60,Quotes!$G$5:$G$604,$C60,Quotes!$H$5:$H$604,$D60,Quotes!$J$5:$J$604,I$4,Quotes!$R$5:$R$604,"&lt;&gt;Unavailable"))</f>
        <v/>
      </c>
      <c r="J60" s="23" t="str">
        <f aca="false">IF(COUNTIFS(Quotes!$E$5:$E$604,$B60,Quotes!$G$5:$G$604,$C60,Quotes!$H$5:$H$604,$D60,Quotes!$J$5:$J$604,J$4,Quotes!$R$5:$R$604,"&lt;&gt;Unavailable")=0,"",_xlfn.MINIFS(Quotes!$M$5:$M$604,Quotes!$E$5:$E$604,$B60,Quotes!$G$5:$G$604,$C60,Quotes!$H$5:$H$604,$D60,Quotes!$J$5:$J$604,J$4,Quotes!$R$5:$R$604,"&lt;&gt;Unavailable"))</f>
        <v/>
      </c>
      <c r="K60" s="23" t="n">
        <f aca="false">IF(COUNTIFS(Quotes!$E$5:$E$604,$B60,Quotes!$G$5:$G$604,$C60,Quotes!$H$5:$H$604,$D60,Quotes!$J$5:$J$604,K$4,Quotes!$R$5:$R$604,"&lt;&gt;Unavailable")=0,"",_xlfn.MINIFS(Quotes!$M$5:$M$604,Quotes!$E$5:$E$604,$B60,Quotes!$G$5:$G$604,$C60,Quotes!$H$5:$H$604,$D60,Quotes!$J$5:$J$604,K$4,Quotes!$R$5:$R$604,"&lt;&gt;Unavailable"))</f>
        <v>3186.67020148462</v>
      </c>
      <c r="L60" s="24" t="n">
        <f aca="false">IF(COUNT(E60:K60)=0,"",MIN(E60:K60))</f>
        <v>3186.67020148462</v>
      </c>
      <c r="M60" s="25" t="str">
        <f aca="false">IF(L60="","",INDEX($E$4:$K$4,MATCH(L60,E60:K60,0)))</f>
        <v>Booking.com</v>
      </c>
      <c r="N60" s="26" t="n">
        <f aca="false">IF(OR(K60="",COUNT(E60:J60)=0),"",K60-MIN(E60:J60))</f>
        <v>-107.921527041357</v>
      </c>
    </row>
    <row r="61" customFormat="false" ht="15" hidden="false" customHeight="false" outlineLevel="0" collapsed="false">
      <c r="A61" s="22" t="s">
        <v>181</v>
      </c>
      <c r="B61" s="22" t="s">
        <v>189</v>
      </c>
      <c r="C61" s="22" t="s">
        <v>153</v>
      </c>
      <c r="D61" s="22" t="s">
        <v>75</v>
      </c>
      <c r="E61" s="23" t="str">
        <f aca="false">IF(COUNTIFS(Quotes!$E$5:$E$604,$B61,Quotes!$G$5:$G$604,$C61,Quotes!$H$5:$H$604,$D61,Quotes!$J$5:$J$604,E$4,Quotes!$R$5:$R$604,"&lt;&gt;Unavailable")=0,"",_xlfn.MINIFS(Quotes!$M$5:$M$604,Quotes!$E$5:$E$604,$B61,Quotes!$G$5:$G$604,$C61,Quotes!$H$5:$H$604,$D61,Quotes!$J$5:$J$604,E$4,Quotes!$R$5:$R$604,"&lt;&gt;Unavailable"))</f>
        <v/>
      </c>
      <c r="F61" s="23" t="str">
        <f aca="false">IF(COUNTIFS(Quotes!$E$5:$E$604,$B61,Quotes!$G$5:$G$604,$C61,Quotes!$H$5:$H$604,$D61,Quotes!$J$5:$J$604,F$4,Quotes!$R$5:$R$604,"&lt;&gt;Unavailable")=0,"",_xlfn.MINIFS(Quotes!$M$5:$M$604,Quotes!$E$5:$E$604,$B61,Quotes!$G$5:$G$604,$C61,Quotes!$H$5:$H$604,$D61,Quotes!$J$5:$J$604,F$4,Quotes!$R$5:$R$604,"&lt;&gt;Unavailable"))</f>
        <v/>
      </c>
      <c r="G61" s="23" t="str">
        <f aca="false">IF(COUNTIFS(Quotes!$E$5:$E$604,$B61,Quotes!$G$5:$G$604,$C61,Quotes!$H$5:$H$604,$D61,Quotes!$J$5:$J$604,G$4,Quotes!$R$5:$R$604,"&lt;&gt;Unavailable")=0,"",_xlfn.MINIFS(Quotes!$M$5:$M$604,Quotes!$E$5:$E$604,$B61,Quotes!$G$5:$G$604,$C61,Quotes!$H$5:$H$604,$D61,Quotes!$J$5:$J$604,G$4,Quotes!$R$5:$R$604,"&lt;&gt;Unavailable"))</f>
        <v/>
      </c>
      <c r="H61" s="23" t="str">
        <f aca="false">IF(COUNTIFS(Quotes!$E$5:$E$604,$B61,Quotes!$G$5:$G$604,$C61,Quotes!$H$5:$H$604,$D61,Quotes!$J$5:$J$604,H$4,Quotes!$R$5:$R$604,"&lt;&gt;Unavailable")=0,"",_xlfn.MINIFS(Quotes!$M$5:$M$604,Quotes!$E$5:$E$604,$B61,Quotes!$G$5:$G$604,$C61,Quotes!$H$5:$H$604,$D61,Quotes!$J$5:$J$604,H$4,Quotes!$R$5:$R$604,"&lt;&gt;Unavailable"))</f>
        <v/>
      </c>
      <c r="I61" s="23" t="n">
        <f aca="false">IF(COUNTIFS(Quotes!$E$5:$E$604,$B61,Quotes!$G$5:$G$604,$C61,Quotes!$H$5:$H$604,$D61,Quotes!$J$5:$J$604,I$4,Quotes!$R$5:$R$604,"&lt;&gt;Unavailable")=0,"",_xlfn.MINIFS(Quotes!$M$5:$M$604,Quotes!$E$5:$E$604,$B61,Quotes!$G$5:$G$604,$C61,Quotes!$H$5:$H$604,$D61,Quotes!$J$5:$J$604,I$4,Quotes!$R$5:$R$604,"&lt;&gt;Unavailable"))</f>
        <v>1700</v>
      </c>
      <c r="J61" s="23" t="str">
        <f aca="false">IF(COUNTIFS(Quotes!$E$5:$E$604,$B61,Quotes!$G$5:$G$604,$C61,Quotes!$H$5:$H$604,$D61,Quotes!$J$5:$J$604,J$4,Quotes!$R$5:$R$604,"&lt;&gt;Unavailable")=0,"",_xlfn.MINIFS(Quotes!$M$5:$M$604,Quotes!$E$5:$E$604,$B61,Quotes!$G$5:$G$604,$C61,Quotes!$H$5:$H$604,$D61,Quotes!$J$5:$J$604,J$4,Quotes!$R$5:$R$604,"&lt;&gt;Unavailable"))</f>
        <v/>
      </c>
      <c r="K61" s="23" t="n">
        <f aca="false">IF(COUNTIFS(Quotes!$E$5:$E$604,$B61,Quotes!$G$5:$G$604,$C61,Quotes!$H$5:$H$604,$D61,Quotes!$J$5:$J$604,K$4,Quotes!$R$5:$R$604,"&lt;&gt;Unavailable")=0,"",_xlfn.MINIFS(Quotes!$M$5:$M$604,Quotes!$E$5:$E$604,$B61,Quotes!$G$5:$G$604,$C61,Quotes!$H$5:$H$604,$D61,Quotes!$J$5:$J$604,K$4,Quotes!$R$5:$R$604,"&lt;&gt;Unavailable"))</f>
        <v>1674.27359490986</v>
      </c>
      <c r="L61" s="24" t="n">
        <f aca="false">IF(COUNT(E61:K61)=0,"",MIN(E61:K61))</f>
        <v>1674.27359490986</v>
      </c>
      <c r="M61" s="25" t="str">
        <f aca="false">IF(L61="","",INDEX($E$4:$K$4,MATCH(L61,E61:K61,0)))</f>
        <v>Booking.com</v>
      </c>
      <c r="N61" s="26" t="n">
        <f aca="false">IF(OR(K61="",COUNT(E61:J61)=0),"",K61-MIN(E61:J61))</f>
        <v>-25.7264050901379</v>
      </c>
    </row>
    <row r="62" customFormat="false" ht="15" hidden="false" customHeight="false" outlineLevel="0" collapsed="false">
      <c r="A62" s="22" t="s">
        <v>181</v>
      </c>
      <c r="B62" s="22" t="s">
        <v>190</v>
      </c>
      <c r="C62" s="22" t="s">
        <v>153</v>
      </c>
      <c r="D62" s="22" t="s">
        <v>75</v>
      </c>
      <c r="E62" s="23" t="str">
        <f aca="false">IF(COUNTIFS(Quotes!$E$5:$E$604,$B62,Quotes!$G$5:$G$604,$C62,Quotes!$H$5:$H$604,$D62,Quotes!$J$5:$J$604,E$4,Quotes!$R$5:$R$604,"&lt;&gt;Unavailable")=0,"",_xlfn.MINIFS(Quotes!$M$5:$M$604,Quotes!$E$5:$E$604,$B62,Quotes!$G$5:$G$604,$C62,Quotes!$H$5:$H$604,$D62,Quotes!$J$5:$J$604,E$4,Quotes!$R$5:$R$604,"&lt;&gt;Unavailable"))</f>
        <v/>
      </c>
      <c r="F62" s="23" t="str">
        <f aca="false">IF(COUNTIFS(Quotes!$E$5:$E$604,$B62,Quotes!$G$5:$G$604,$C62,Quotes!$H$5:$H$604,$D62,Quotes!$J$5:$J$604,F$4,Quotes!$R$5:$R$604,"&lt;&gt;Unavailable")=0,"",_xlfn.MINIFS(Quotes!$M$5:$M$604,Quotes!$E$5:$E$604,$B62,Quotes!$G$5:$G$604,$C62,Quotes!$H$5:$H$604,$D62,Quotes!$J$5:$J$604,F$4,Quotes!$R$5:$R$604,"&lt;&gt;Unavailable"))</f>
        <v/>
      </c>
      <c r="G62" s="23" t="str">
        <f aca="false">IF(COUNTIFS(Quotes!$E$5:$E$604,$B62,Quotes!$G$5:$G$604,$C62,Quotes!$H$5:$H$604,$D62,Quotes!$J$5:$J$604,G$4,Quotes!$R$5:$R$604,"&lt;&gt;Unavailable")=0,"",_xlfn.MINIFS(Quotes!$M$5:$M$604,Quotes!$E$5:$E$604,$B62,Quotes!$G$5:$G$604,$C62,Quotes!$H$5:$H$604,$D62,Quotes!$J$5:$J$604,G$4,Quotes!$R$5:$R$604,"&lt;&gt;Unavailable"))</f>
        <v/>
      </c>
      <c r="H62" s="23" t="str">
        <f aca="false">IF(COUNTIFS(Quotes!$E$5:$E$604,$B62,Quotes!$G$5:$G$604,$C62,Quotes!$H$5:$H$604,$D62,Quotes!$J$5:$J$604,H$4,Quotes!$R$5:$R$604,"&lt;&gt;Unavailable")=0,"",_xlfn.MINIFS(Quotes!$M$5:$M$604,Quotes!$E$5:$E$604,$B62,Quotes!$G$5:$G$604,$C62,Quotes!$H$5:$H$604,$D62,Quotes!$J$5:$J$604,H$4,Quotes!$R$5:$R$604,"&lt;&gt;Unavailable"))</f>
        <v/>
      </c>
      <c r="I62" s="23" t="n">
        <f aca="false">IF(COUNTIFS(Quotes!$E$5:$E$604,$B62,Quotes!$G$5:$G$604,$C62,Quotes!$H$5:$H$604,$D62,Quotes!$J$5:$J$604,I$4,Quotes!$R$5:$R$604,"&lt;&gt;Unavailable")=0,"",_xlfn.MINIFS(Quotes!$M$5:$M$604,Quotes!$E$5:$E$604,$B62,Quotes!$G$5:$G$604,$C62,Quotes!$H$5:$H$604,$D62,Quotes!$J$5:$J$604,I$4,Quotes!$R$5:$R$604,"&lt;&gt;Unavailable"))</f>
        <v>2350</v>
      </c>
      <c r="J62" s="23" t="str">
        <f aca="false">IF(COUNTIFS(Quotes!$E$5:$E$604,$B62,Quotes!$G$5:$G$604,$C62,Quotes!$H$5:$H$604,$D62,Quotes!$J$5:$J$604,J$4,Quotes!$R$5:$R$604,"&lt;&gt;Unavailable")=0,"",_xlfn.MINIFS(Quotes!$M$5:$M$604,Quotes!$E$5:$E$604,$B62,Quotes!$G$5:$G$604,$C62,Quotes!$H$5:$H$604,$D62,Quotes!$J$5:$J$604,J$4,Quotes!$R$5:$R$604,"&lt;&gt;Unavailable"))</f>
        <v/>
      </c>
      <c r="K62" s="23" t="n">
        <f aca="false">IF(COUNTIFS(Quotes!$E$5:$E$604,$B62,Quotes!$G$5:$G$604,$C62,Quotes!$H$5:$H$604,$D62,Quotes!$J$5:$J$604,K$4,Quotes!$R$5:$R$604,"&lt;&gt;Unavailable")=0,"",_xlfn.MINIFS(Quotes!$M$5:$M$604,Quotes!$E$5:$E$604,$B62,Quotes!$G$5:$G$604,$C62,Quotes!$H$5:$H$604,$D62,Quotes!$J$5:$J$604,K$4,Quotes!$R$5:$R$604,"&lt;&gt;Unavailable"))</f>
        <v>2312.35418875928</v>
      </c>
      <c r="L62" s="24" t="n">
        <f aca="false">IF(COUNT(E62:K62)=0,"",MIN(E62:K62))</f>
        <v>2312.35418875928</v>
      </c>
      <c r="M62" s="25" t="str">
        <f aca="false">IF(L62="","",INDEX($E$4:$K$4,MATCH(L62,E62:K62,0)))</f>
        <v>Booking.com</v>
      </c>
      <c r="N62" s="26" t="n">
        <f aca="false">IF(OR(K62="",COUNT(E62:J62)=0),"",K62-MIN(E62:J62))</f>
        <v>-37.6458112407208</v>
      </c>
    </row>
    <row r="63" customFormat="false" ht="23.85" hidden="false" customHeight="false" outlineLevel="0" collapsed="false">
      <c r="A63" s="22" t="s">
        <v>181</v>
      </c>
      <c r="B63" s="22" t="s">
        <v>191</v>
      </c>
      <c r="C63" s="22" t="s">
        <v>153</v>
      </c>
      <c r="D63" s="22" t="s">
        <v>75</v>
      </c>
      <c r="E63" s="23" t="str">
        <f aca="false">IF(COUNTIFS(Quotes!$E$5:$E$604,$B63,Quotes!$G$5:$G$604,$C63,Quotes!$H$5:$H$604,$D63,Quotes!$J$5:$J$604,E$4,Quotes!$R$5:$R$604,"&lt;&gt;Unavailable")=0,"",_xlfn.MINIFS(Quotes!$M$5:$M$604,Quotes!$E$5:$E$604,$B63,Quotes!$G$5:$G$604,$C63,Quotes!$H$5:$H$604,$D63,Quotes!$J$5:$J$604,E$4,Quotes!$R$5:$R$604,"&lt;&gt;Unavailable"))</f>
        <v/>
      </c>
      <c r="F63" s="23" t="str">
        <f aca="false">IF(COUNTIFS(Quotes!$E$5:$E$604,$B63,Quotes!$G$5:$G$604,$C63,Quotes!$H$5:$H$604,$D63,Quotes!$J$5:$J$604,F$4,Quotes!$R$5:$R$604,"&lt;&gt;Unavailable")=0,"",_xlfn.MINIFS(Quotes!$M$5:$M$604,Quotes!$E$5:$E$604,$B63,Quotes!$G$5:$G$604,$C63,Quotes!$H$5:$H$604,$D63,Quotes!$J$5:$J$604,F$4,Quotes!$R$5:$R$604,"&lt;&gt;Unavailable"))</f>
        <v/>
      </c>
      <c r="G63" s="23" t="str">
        <f aca="false">IF(COUNTIFS(Quotes!$E$5:$E$604,$B63,Quotes!$G$5:$G$604,$C63,Quotes!$H$5:$H$604,$D63,Quotes!$J$5:$J$604,G$4,Quotes!$R$5:$R$604,"&lt;&gt;Unavailable")=0,"",_xlfn.MINIFS(Quotes!$M$5:$M$604,Quotes!$E$5:$E$604,$B63,Quotes!$G$5:$G$604,$C63,Quotes!$H$5:$H$604,$D63,Quotes!$J$5:$J$604,G$4,Quotes!$R$5:$R$604,"&lt;&gt;Unavailable"))</f>
        <v/>
      </c>
      <c r="H63" s="23" t="str">
        <f aca="false">IF(COUNTIFS(Quotes!$E$5:$E$604,$B63,Quotes!$G$5:$G$604,$C63,Quotes!$H$5:$H$604,$D63,Quotes!$J$5:$J$604,H$4,Quotes!$R$5:$R$604,"&lt;&gt;Unavailable")=0,"",_xlfn.MINIFS(Quotes!$M$5:$M$604,Quotes!$E$5:$E$604,$B63,Quotes!$G$5:$G$604,$C63,Quotes!$H$5:$H$604,$D63,Quotes!$J$5:$J$604,H$4,Quotes!$R$5:$R$604,"&lt;&gt;Unavailable"))</f>
        <v/>
      </c>
      <c r="I63" s="23" t="n">
        <f aca="false">IF(COUNTIFS(Quotes!$E$5:$E$604,$B63,Quotes!$G$5:$G$604,$C63,Quotes!$H$5:$H$604,$D63,Quotes!$J$5:$J$604,I$4,Quotes!$R$5:$R$604,"&lt;&gt;Unavailable")=0,"",_xlfn.MINIFS(Quotes!$M$5:$M$604,Quotes!$E$5:$E$604,$B63,Quotes!$G$5:$G$604,$C63,Quotes!$H$5:$H$604,$D63,Quotes!$J$5:$J$604,I$4,Quotes!$R$5:$R$604,"&lt;&gt;Unavailable"))</f>
        <v>2750</v>
      </c>
      <c r="J63" s="23" t="str">
        <f aca="false">IF(COUNTIFS(Quotes!$E$5:$E$604,$B63,Quotes!$G$5:$G$604,$C63,Quotes!$H$5:$H$604,$D63,Quotes!$J$5:$J$604,J$4,Quotes!$R$5:$R$604,"&lt;&gt;Unavailable")=0,"",_xlfn.MINIFS(Quotes!$M$5:$M$604,Quotes!$E$5:$E$604,$B63,Quotes!$G$5:$G$604,$C63,Quotes!$H$5:$H$604,$D63,Quotes!$J$5:$J$604,J$4,Quotes!$R$5:$R$604,"&lt;&gt;Unavailable"))</f>
        <v/>
      </c>
      <c r="K63" s="23" t="n">
        <f aca="false">IF(COUNTIFS(Quotes!$E$5:$E$604,$B63,Quotes!$G$5:$G$604,$C63,Quotes!$H$5:$H$604,$D63,Quotes!$J$5:$J$604,K$4,Quotes!$R$5:$R$604,"&lt;&gt;Unavailable")=0,"",_xlfn.MINIFS(Quotes!$M$5:$M$604,Quotes!$E$5:$E$604,$B63,Quotes!$G$5:$G$604,$C63,Quotes!$H$5:$H$604,$D63,Quotes!$J$5:$J$604,K$4,Quotes!$R$5:$R$604,"&lt;&gt;Unavailable"))</f>
        <v>2705.01590668081</v>
      </c>
      <c r="L63" s="24" t="n">
        <f aca="false">IF(COUNT(E63:K63)=0,"",MIN(E63:K63))</f>
        <v>2705.01590668081</v>
      </c>
      <c r="M63" s="25" t="str">
        <f aca="false">IF(L63="","",INDEX($E$4:$K$4,MATCH(L63,E63:K63,0)))</f>
        <v>Booking.com</v>
      </c>
      <c r="N63" s="26" t="n">
        <f aca="false">IF(OR(K63="",COUNT(E63:J63)=0),"",K63-MIN(E63:J63))</f>
        <v>-44.984093319194</v>
      </c>
    </row>
    <row r="64" customFormat="false" ht="15" hidden="false" customHeight="false" outlineLevel="0" collapsed="false">
      <c r="A64" s="22" t="s">
        <v>181</v>
      </c>
      <c r="B64" s="22" t="s">
        <v>193</v>
      </c>
      <c r="C64" s="22" t="s">
        <v>153</v>
      </c>
      <c r="D64" s="22" t="s">
        <v>75</v>
      </c>
      <c r="E64" s="23" t="str">
        <f aca="false">IF(COUNTIFS(Quotes!$E$5:$E$604,$B64,Quotes!$G$5:$G$604,$C64,Quotes!$H$5:$H$604,$D64,Quotes!$J$5:$J$604,E$4,Quotes!$R$5:$R$604,"&lt;&gt;Unavailable")=0,"",_xlfn.MINIFS(Quotes!$M$5:$M$604,Quotes!$E$5:$E$604,$B64,Quotes!$G$5:$G$604,$C64,Quotes!$H$5:$H$604,$D64,Quotes!$J$5:$J$604,E$4,Quotes!$R$5:$R$604,"&lt;&gt;Unavailable"))</f>
        <v/>
      </c>
      <c r="F64" s="23" t="str">
        <f aca="false">IF(COUNTIFS(Quotes!$E$5:$E$604,$B64,Quotes!$G$5:$G$604,$C64,Quotes!$H$5:$H$604,$D64,Quotes!$J$5:$J$604,F$4,Quotes!$R$5:$R$604,"&lt;&gt;Unavailable")=0,"",_xlfn.MINIFS(Quotes!$M$5:$M$604,Quotes!$E$5:$E$604,$B64,Quotes!$G$5:$G$604,$C64,Quotes!$H$5:$H$604,$D64,Quotes!$J$5:$J$604,F$4,Quotes!$R$5:$R$604,"&lt;&gt;Unavailable"))</f>
        <v/>
      </c>
      <c r="G64" s="23" t="str">
        <f aca="false">IF(COUNTIFS(Quotes!$E$5:$E$604,$B64,Quotes!$G$5:$G$604,$C64,Quotes!$H$5:$H$604,$D64,Quotes!$J$5:$J$604,G$4,Quotes!$R$5:$R$604,"&lt;&gt;Unavailable")=0,"",_xlfn.MINIFS(Quotes!$M$5:$M$604,Quotes!$E$5:$E$604,$B64,Quotes!$G$5:$G$604,$C64,Quotes!$H$5:$H$604,$D64,Quotes!$J$5:$J$604,G$4,Quotes!$R$5:$R$604,"&lt;&gt;Unavailable"))</f>
        <v/>
      </c>
      <c r="H64" s="23" t="str">
        <f aca="false">IF(COUNTIFS(Quotes!$E$5:$E$604,$B64,Quotes!$G$5:$G$604,$C64,Quotes!$H$5:$H$604,$D64,Quotes!$J$5:$J$604,H$4,Quotes!$R$5:$R$604,"&lt;&gt;Unavailable")=0,"",_xlfn.MINIFS(Quotes!$M$5:$M$604,Quotes!$E$5:$E$604,$B64,Quotes!$G$5:$G$604,$C64,Quotes!$H$5:$H$604,$D64,Quotes!$J$5:$J$604,H$4,Quotes!$R$5:$R$604,"&lt;&gt;Unavailable"))</f>
        <v/>
      </c>
      <c r="I64" s="23" t="n">
        <f aca="false">IF(COUNTIFS(Quotes!$E$5:$E$604,$B64,Quotes!$G$5:$G$604,$C64,Quotes!$H$5:$H$604,$D64,Quotes!$J$5:$J$604,I$4,Quotes!$R$5:$R$604,"&lt;&gt;Unavailable")=0,"",_xlfn.MINIFS(Quotes!$M$5:$M$604,Quotes!$E$5:$E$604,$B64,Quotes!$G$5:$G$604,$C64,Quotes!$H$5:$H$604,$D64,Quotes!$J$5:$J$604,I$4,Quotes!$R$5:$R$604,"&lt;&gt;Unavailable"))</f>
        <v>3150</v>
      </c>
      <c r="J64" s="23" t="str">
        <f aca="false">IF(COUNTIFS(Quotes!$E$5:$E$604,$B64,Quotes!$G$5:$G$604,$C64,Quotes!$H$5:$H$604,$D64,Quotes!$J$5:$J$604,J$4,Quotes!$R$5:$R$604,"&lt;&gt;Unavailable")=0,"",_xlfn.MINIFS(Quotes!$M$5:$M$604,Quotes!$E$5:$E$604,$B64,Quotes!$G$5:$G$604,$C64,Quotes!$H$5:$H$604,$D64,Quotes!$J$5:$J$604,J$4,Quotes!$R$5:$R$604,"&lt;&gt;Unavailable"))</f>
        <v/>
      </c>
      <c r="K64" s="23" t="n">
        <f aca="false">IF(COUNTIFS(Quotes!$E$5:$E$604,$B64,Quotes!$G$5:$G$604,$C64,Quotes!$H$5:$H$604,$D64,Quotes!$J$5:$J$604,K$4,Quotes!$R$5:$R$604,"&lt;&gt;Unavailable")=0,"",_xlfn.MINIFS(Quotes!$M$5:$M$604,Quotes!$E$5:$E$604,$B64,Quotes!$G$5:$G$604,$C64,Quotes!$H$5:$H$604,$D64,Quotes!$J$5:$J$604,K$4,Quotes!$R$5:$R$604,"&lt;&gt;Unavailable"))</f>
        <v>3441.8769883351</v>
      </c>
      <c r="L64" s="24" t="n">
        <f aca="false">IF(COUNT(E64:K64)=0,"",MIN(E64:K64))</f>
        <v>3150</v>
      </c>
      <c r="M64" s="25" t="str">
        <f aca="false">IF(L64="","",INDEX($E$4:$K$4,MATCH(L64,E64:K64,0)))</f>
        <v>Direct</v>
      </c>
      <c r="N64" s="26" t="n">
        <f aca="false">IF(OR(K64="",COUNT(E64:J64)=0),"",K64-MIN(E64:J64))</f>
        <v>291.876988335101</v>
      </c>
    </row>
    <row r="65" customFormat="false" ht="23.85" hidden="false" customHeight="false" outlineLevel="0" collapsed="false">
      <c r="A65" s="22" t="s">
        <v>181</v>
      </c>
      <c r="B65" s="22" t="s">
        <v>194</v>
      </c>
      <c r="C65" s="22" t="s">
        <v>195</v>
      </c>
      <c r="D65" s="22" t="s">
        <v>75</v>
      </c>
      <c r="E65" s="23" t="str">
        <f aca="false">IF(COUNTIFS(Quotes!$E$5:$E$604,$B65,Quotes!$G$5:$G$604,$C65,Quotes!$H$5:$H$604,$D65,Quotes!$J$5:$J$604,E$4,Quotes!$R$5:$R$604,"&lt;&gt;Unavailable")=0,"",_xlfn.MINIFS(Quotes!$M$5:$M$604,Quotes!$E$5:$E$604,$B65,Quotes!$G$5:$G$604,$C65,Quotes!$H$5:$H$604,$D65,Quotes!$J$5:$J$604,E$4,Quotes!$R$5:$R$604,"&lt;&gt;Unavailable"))</f>
        <v/>
      </c>
      <c r="F65" s="23" t="str">
        <f aca="false">IF(COUNTIFS(Quotes!$E$5:$E$604,$B65,Quotes!$G$5:$G$604,$C65,Quotes!$H$5:$H$604,$D65,Quotes!$J$5:$J$604,F$4,Quotes!$R$5:$R$604,"&lt;&gt;Unavailable")=0,"",_xlfn.MINIFS(Quotes!$M$5:$M$604,Quotes!$E$5:$E$604,$B65,Quotes!$G$5:$G$604,$C65,Quotes!$H$5:$H$604,$D65,Quotes!$J$5:$J$604,F$4,Quotes!$R$5:$R$604,"&lt;&gt;Unavailable"))</f>
        <v/>
      </c>
      <c r="G65" s="23" t="str">
        <f aca="false">IF(COUNTIFS(Quotes!$E$5:$E$604,$B65,Quotes!$G$5:$G$604,$C65,Quotes!$H$5:$H$604,$D65,Quotes!$J$5:$J$604,G$4,Quotes!$R$5:$R$604,"&lt;&gt;Unavailable")=0,"",_xlfn.MINIFS(Quotes!$M$5:$M$604,Quotes!$E$5:$E$604,$B65,Quotes!$G$5:$G$604,$C65,Quotes!$H$5:$H$604,$D65,Quotes!$J$5:$J$604,G$4,Quotes!$R$5:$R$604,"&lt;&gt;Unavailable"))</f>
        <v/>
      </c>
      <c r="H65" s="23" t="str">
        <f aca="false">IF(COUNTIFS(Quotes!$E$5:$E$604,$B65,Quotes!$G$5:$G$604,$C65,Quotes!$H$5:$H$604,$D65,Quotes!$J$5:$J$604,H$4,Quotes!$R$5:$R$604,"&lt;&gt;Unavailable")=0,"",_xlfn.MINIFS(Quotes!$M$5:$M$604,Quotes!$E$5:$E$604,$B65,Quotes!$G$5:$G$604,$C65,Quotes!$H$5:$H$604,$D65,Quotes!$J$5:$J$604,H$4,Quotes!$R$5:$R$604,"&lt;&gt;Unavailable"))</f>
        <v/>
      </c>
      <c r="I65" s="23" t="n">
        <f aca="false">IF(COUNTIFS(Quotes!$E$5:$E$604,$B65,Quotes!$G$5:$G$604,$C65,Quotes!$H$5:$H$604,$D65,Quotes!$J$5:$J$604,I$4,Quotes!$R$5:$R$604,"&lt;&gt;Unavailable")=0,"",_xlfn.MINIFS(Quotes!$M$5:$M$604,Quotes!$E$5:$E$604,$B65,Quotes!$G$5:$G$604,$C65,Quotes!$H$5:$H$604,$D65,Quotes!$J$5:$J$604,I$4,Quotes!$R$5:$R$604,"&lt;&gt;Unavailable"))</f>
        <v>2975</v>
      </c>
      <c r="J65" s="23" t="str">
        <f aca="false">IF(COUNTIFS(Quotes!$E$5:$E$604,$B65,Quotes!$G$5:$G$604,$C65,Quotes!$H$5:$H$604,$D65,Quotes!$J$5:$J$604,J$4,Quotes!$R$5:$R$604,"&lt;&gt;Unavailable")=0,"",_xlfn.MINIFS(Quotes!$M$5:$M$604,Quotes!$E$5:$E$604,$B65,Quotes!$G$5:$G$604,$C65,Quotes!$H$5:$H$604,$D65,Quotes!$J$5:$J$604,J$4,Quotes!$R$5:$R$604,"&lt;&gt;Unavailable"))</f>
        <v/>
      </c>
      <c r="K65" s="23" t="n">
        <f aca="false">IF(COUNTIFS(Quotes!$E$5:$E$604,$B65,Quotes!$G$5:$G$604,$C65,Quotes!$H$5:$H$604,$D65,Quotes!$J$5:$J$604,K$4,Quotes!$R$5:$R$604,"&lt;&gt;Unavailable")=0,"",_xlfn.MINIFS(Quotes!$M$5:$M$604,Quotes!$E$5:$E$604,$B65,Quotes!$G$5:$G$604,$C65,Quotes!$H$5:$H$604,$D65,Quotes!$J$5:$J$604,K$4,Quotes!$R$5:$R$604,"&lt;&gt;Unavailable"))</f>
        <v>2162.97985153765</v>
      </c>
      <c r="L65" s="24" t="n">
        <f aca="false">IF(COUNT(E65:K65)=0,"",MIN(E65:K65))</f>
        <v>2162.97985153765</v>
      </c>
      <c r="M65" s="25" t="str">
        <f aca="false">IF(L65="","",INDEX($E$4:$K$4,MATCH(L65,E65:K65,0)))</f>
        <v>Booking.com</v>
      </c>
      <c r="N65" s="26" t="n">
        <f aca="false">IF(OR(K65="",COUNT(E65:J65)=0),"",K65-MIN(E65:J65))</f>
        <v>-812.020148462354</v>
      </c>
    </row>
    <row r="66" customFormat="false" ht="23.85" hidden="false" customHeight="false" outlineLevel="0" collapsed="false">
      <c r="A66" s="22" t="s">
        <v>181</v>
      </c>
      <c r="B66" s="22" t="s">
        <v>194</v>
      </c>
      <c r="C66" s="22" t="s">
        <v>197</v>
      </c>
      <c r="D66" s="22" t="s">
        <v>75</v>
      </c>
      <c r="E66" s="23" t="n">
        <f aca="false">IF(COUNTIFS(Quotes!$E$5:$E$604,$B66,Quotes!$G$5:$G$604,$C66,Quotes!$H$5:$H$604,$D66,Quotes!$J$5:$J$604,E$4,Quotes!$R$5:$R$604,"&lt;&gt;Unavailable")=0,"",_xlfn.MINIFS(Quotes!$M$5:$M$604,Quotes!$E$5:$E$604,$B66,Quotes!$G$5:$G$604,$C66,Quotes!$H$5:$H$604,$D66,Quotes!$J$5:$J$604,E$4,Quotes!$R$5:$R$604,"&lt;&gt;Unavailable"))</f>
        <v>1928.05938494168</v>
      </c>
      <c r="F66" s="23" t="str">
        <f aca="false">IF(COUNTIFS(Quotes!$E$5:$E$604,$B66,Quotes!$G$5:$G$604,$C66,Quotes!$H$5:$H$604,$D66,Quotes!$J$5:$J$604,F$4,Quotes!$R$5:$R$604,"&lt;&gt;Unavailable")=0,"",_xlfn.MINIFS(Quotes!$M$5:$M$604,Quotes!$E$5:$E$604,$B66,Quotes!$G$5:$G$604,$C66,Quotes!$H$5:$H$604,$D66,Quotes!$J$5:$J$604,F$4,Quotes!$R$5:$R$604,"&lt;&gt;Unavailable"))</f>
        <v/>
      </c>
      <c r="G66" s="23" t="str">
        <f aca="false">IF(COUNTIFS(Quotes!$E$5:$E$604,$B66,Quotes!$G$5:$G$604,$C66,Quotes!$H$5:$H$604,$D66,Quotes!$J$5:$J$604,G$4,Quotes!$R$5:$R$604,"&lt;&gt;Unavailable")=0,"",_xlfn.MINIFS(Quotes!$M$5:$M$604,Quotes!$E$5:$E$604,$B66,Quotes!$G$5:$G$604,$C66,Quotes!$H$5:$H$604,$D66,Quotes!$J$5:$J$604,G$4,Quotes!$R$5:$R$604,"&lt;&gt;Unavailable"))</f>
        <v/>
      </c>
      <c r="H66" s="23" t="str">
        <f aca="false">IF(COUNTIFS(Quotes!$E$5:$E$604,$B66,Quotes!$G$5:$G$604,$C66,Quotes!$H$5:$H$604,$D66,Quotes!$J$5:$J$604,H$4,Quotes!$R$5:$R$604,"&lt;&gt;Unavailable")=0,"",_xlfn.MINIFS(Quotes!$M$5:$M$604,Quotes!$E$5:$E$604,$B66,Quotes!$G$5:$G$604,$C66,Quotes!$H$5:$H$604,$D66,Quotes!$J$5:$J$604,H$4,Quotes!$R$5:$R$604,"&lt;&gt;Unavailable"))</f>
        <v/>
      </c>
      <c r="I66" s="23" t="str">
        <f aca="false">IF(COUNTIFS(Quotes!$E$5:$E$604,$B66,Quotes!$G$5:$G$604,$C66,Quotes!$H$5:$H$604,$D66,Quotes!$J$5:$J$604,I$4,Quotes!$R$5:$R$604,"&lt;&gt;Unavailable")=0,"",_xlfn.MINIFS(Quotes!$M$5:$M$604,Quotes!$E$5:$E$604,$B66,Quotes!$G$5:$G$604,$C66,Quotes!$H$5:$H$604,$D66,Quotes!$J$5:$J$604,I$4,Quotes!$R$5:$R$604,"&lt;&gt;Unavailable"))</f>
        <v/>
      </c>
      <c r="J66" s="23" t="str">
        <f aca="false">IF(COUNTIFS(Quotes!$E$5:$E$604,$B66,Quotes!$G$5:$G$604,$C66,Quotes!$H$5:$H$604,$D66,Quotes!$J$5:$J$604,J$4,Quotes!$R$5:$R$604,"&lt;&gt;Unavailable")=0,"",_xlfn.MINIFS(Quotes!$M$5:$M$604,Quotes!$E$5:$E$604,$B66,Quotes!$G$5:$G$604,$C66,Quotes!$H$5:$H$604,$D66,Quotes!$J$5:$J$604,J$4,Quotes!$R$5:$R$604,"&lt;&gt;Unavailable"))</f>
        <v/>
      </c>
      <c r="K66" s="23" t="n">
        <f aca="false">IF(COUNTIFS(Quotes!$E$5:$E$604,$B66,Quotes!$G$5:$G$604,$C66,Quotes!$H$5:$H$604,$D66,Quotes!$J$5:$J$604,K$4,Quotes!$R$5:$R$604,"&lt;&gt;Unavailable")=0,"",_xlfn.MINIFS(Quotes!$M$5:$M$604,Quotes!$E$5:$E$604,$B66,Quotes!$G$5:$G$604,$C66,Quotes!$H$5:$H$604,$D66,Quotes!$J$5:$J$604,K$4,Quotes!$R$5:$R$604,"&lt;&gt;Unavailable"))</f>
        <v>2162.97985153765</v>
      </c>
      <c r="L66" s="24" t="n">
        <f aca="false">IF(COUNT(E66:K66)=0,"",MIN(E66:K66))</f>
        <v>1928.05938494168</v>
      </c>
      <c r="M66" s="25" t="str">
        <f aca="false">IF(L66="","",INDEX($E$4:$K$4,MATCH(L66,E66:K66,0)))</f>
        <v>Ottila</v>
      </c>
      <c r="N66" s="26" t="n">
        <f aca="false">IF(OR(K66="",COUNT(E66:J66)=0),"",K66-MIN(E66:J66))</f>
        <v>234.920466595971</v>
      </c>
    </row>
    <row r="67" customFormat="false" ht="15" hidden="false" customHeight="false" outlineLevel="0" collapsed="false">
      <c r="A67" s="22" t="s">
        <v>181</v>
      </c>
      <c r="B67" s="22" t="s">
        <v>194</v>
      </c>
      <c r="C67" s="22" t="s">
        <v>198</v>
      </c>
      <c r="D67" s="22" t="s">
        <v>75</v>
      </c>
      <c r="E67" s="23" t="str">
        <f aca="false">IF(COUNTIFS(Quotes!$E$5:$E$604,$B67,Quotes!$G$5:$G$604,$C67,Quotes!$H$5:$H$604,$D67,Quotes!$J$5:$J$604,E$4,Quotes!$R$5:$R$604,"&lt;&gt;Unavailable")=0,"",_xlfn.MINIFS(Quotes!$M$5:$M$604,Quotes!$E$5:$E$604,$B67,Quotes!$G$5:$G$604,$C67,Quotes!$H$5:$H$604,$D67,Quotes!$J$5:$J$604,E$4,Quotes!$R$5:$R$604,"&lt;&gt;Unavailable"))</f>
        <v/>
      </c>
      <c r="F67" s="23" t="str">
        <f aca="false">IF(COUNTIFS(Quotes!$E$5:$E$604,$B67,Quotes!$G$5:$G$604,$C67,Quotes!$H$5:$H$604,$D67,Quotes!$J$5:$J$604,F$4,Quotes!$R$5:$R$604,"&lt;&gt;Unavailable")=0,"",_xlfn.MINIFS(Quotes!$M$5:$M$604,Quotes!$E$5:$E$604,$B67,Quotes!$G$5:$G$604,$C67,Quotes!$H$5:$H$604,$D67,Quotes!$J$5:$J$604,F$4,Quotes!$R$5:$R$604,"&lt;&gt;Unavailable"))</f>
        <v/>
      </c>
      <c r="G67" s="23" t="str">
        <f aca="false">IF(COUNTIFS(Quotes!$E$5:$E$604,$B67,Quotes!$G$5:$G$604,$C67,Quotes!$H$5:$H$604,$D67,Quotes!$J$5:$J$604,G$4,Quotes!$R$5:$R$604,"&lt;&gt;Unavailable")=0,"",_xlfn.MINIFS(Quotes!$M$5:$M$604,Quotes!$E$5:$E$604,$B67,Quotes!$G$5:$G$604,$C67,Quotes!$H$5:$H$604,$D67,Quotes!$J$5:$J$604,G$4,Quotes!$R$5:$R$604,"&lt;&gt;Unavailable"))</f>
        <v/>
      </c>
      <c r="H67" s="23" t="str">
        <f aca="false">IF(COUNTIFS(Quotes!$E$5:$E$604,$B67,Quotes!$G$5:$G$604,$C67,Quotes!$H$5:$H$604,$D67,Quotes!$J$5:$J$604,H$4,Quotes!$R$5:$R$604,"&lt;&gt;Unavailable")=0,"",_xlfn.MINIFS(Quotes!$M$5:$M$604,Quotes!$E$5:$E$604,$B67,Quotes!$G$5:$G$604,$C67,Quotes!$H$5:$H$604,$D67,Quotes!$J$5:$J$604,H$4,Quotes!$R$5:$R$604,"&lt;&gt;Unavailable"))</f>
        <v/>
      </c>
      <c r="I67" s="23" t="n">
        <f aca="false">IF(COUNTIFS(Quotes!$E$5:$E$604,$B67,Quotes!$G$5:$G$604,$C67,Quotes!$H$5:$H$604,$D67,Quotes!$J$5:$J$604,I$4,Quotes!$R$5:$R$604,"&lt;&gt;Unavailable")=0,"",_xlfn.MINIFS(Quotes!$M$5:$M$604,Quotes!$E$5:$E$604,$B67,Quotes!$G$5:$G$604,$C67,Quotes!$H$5:$H$604,$D67,Quotes!$J$5:$J$604,I$4,Quotes!$R$5:$R$604,"&lt;&gt;Unavailable"))</f>
        <v>2820</v>
      </c>
      <c r="J67" s="23" t="str">
        <f aca="false">IF(COUNTIFS(Quotes!$E$5:$E$604,$B67,Quotes!$G$5:$G$604,$C67,Quotes!$H$5:$H$604,$D67,Quotes!$J$5:$J$604,J$4,Quotes!$R$5:$R$604,"&lt;&gt;Unavailable")=0,"",_xlfn.MINIFS(Quotes!$M$5:$M$604,Quotes!$E$5:$E$604,$B67,Quotes!$G$5:$G$604,$C67,Quotes!$H$5:$H$604,$D67,Quotes!$J$5:$J$604,J$4,Quotes!$R$5:$R$604,"&lt;&gt;Unavailable"))</f>
        <v/>
      </c>
      <c r="K67" s="23" t="n">
        <f aca="false">IF(COUNTIFS(Quotes!$E$5:$E$604,$B67,Quotes!$G$5:$G$604,$C67,Quotes!$H$5:$H$604,$D67,Quotes!$J$5:$J$604,K$4,Quotes!$R$5:$R$604,"&lt;&gt;Unavailable")=0,"",_xlfn.MINIFS(Quotes!$M$5:$M$604,Quotes!$E$5:$E$604,$B67,Quotes!$G$5:$G$604,$C67,Quotes!$H$5:$H$604,$D67,Quotes!$J$5:$J$604,K$4,Quotes!$R$5:$R$604,"&lt;&gt;Unavailable"))</f>
        <v>2162.97985153765</v>
      </c>
      <c r="L67" s="24" t="n">
        <f aca="false">IF(COUNT(E67:K67)=0,"",MIN(E67:K67))</f>
        <v>2162.97985153765</v>
      </c>
      <c r="M67" s="25" t="str">
        <f aca="false">IF(L67="","",INDEX($E$4:$K$4,MATCH(L67,E67:K67,0)))</f>
        <v>Booking.com</v>
      </c>
      <c r="N67" s="26" t="n">
        <f aca="false">IF(OR(K67="",COUNT(E67:J67)=0),"",K67-MIN(E67:J67))</f>
        <v>-657.020148462354</v>
      </c>
    </row>
    <row r="68" customFormat="false" ht="23.85" hidden="false" customHeight="false" outlineLevel="0" collapsed="false">
      <c r="A68" s="22" t="s">
        <v>181</v>
      </c>
      <c r="B68" s="22" t="s">
        <v>194</v>
      </c>
      <c r="C68" s="22" t="s">
        <v>199</v>
      </c>
      <c r="D68" s="22" t="s">
        <v>75</v>
      </c>
      <c r="E68" s="23" t="n">
        <f aca="false">IF(COUNTIFS(Quotes!$E$5:$E$604,$B68,Quotes!$G$5:$G$604,$C68,Quotes!$H$5:$H$604,$D68,Quotes!$J$5:$J$604,E$4,Quotes!$R$5:$R$604,"&lt;&gt;Unavailable")=0,"",_xlfn.MINIFS(Quotes!$M$5:$M$604,Quotes!$E$5:$E$604,$B68,Quotes!$G$5:$G$604,$C68,Quotes!$H$5:$H$604,$D68,Quotes!$J$5:$J$604,E$4,Quotes!$R$5:$R$604,"&lt;&gt;Unavailable"))</f>
        <v>1577.56097560976</v>
      </c>
      <c r="F68" s="23" t="str">
        <f aca="false">IF(COUNTIFS(Quotes!$E$5:$E$604,$B68,Quotes!$G$5:$G$604,$C68,Quotes!$H$5:$H$604,$D68,Quotes!$J$5:$J$604,F$4,Quotes!$R$5:$R$604,"&lt;&gt;Unavailable")=0,"",_xlfn.MINIFS(Quotes!$M$5:$M$604,Quotes!$E$5:$E$604,$B68,Quotes!$G$5:$G$604,$C68,Quotes!$H$5:$H$604,$D68,Quotes!$J$5:$J$604,F$4,Quotes!$R$5:$R$604,"&lt;&gt;Unavailable"))</f>
        <v/>
      </c>
      <c r="G68" s="23" t="str">
        <f aca="false">IF(COUNTIFS(Quotes!$E$5:$E$604,$B68,Quotes!$G$5:$G$604,$C68,Quotes!$H$5:$H$604,$D68,Quotes!$J$5:$J$604,G$4,Quotes!$R$5:$R$604,"&lt;&gt;Unavailable")=0,"",_xlfn.MINIFS(Quotes!$M$5:$M$604,Quotes!$E$5:$E$604,$B68,Quotes!$G$5:$G$604,$C68,Quotes!$H$5:$H$604,$D68,Quotes!$J$5:$J$604,G$4,Quotes!$R$5:$R$604,"&lt;&gt;Unavailable"))</f>
        <v/>
      </c>
      <c r="H68" s="23" t="str">
        <f aca="false">IF(COUNTIFS(Quotes!$E$5:$E$604,$B68,Quotes!$G$5:$G$604,$C68,Quotes!$H$5:$H$604,$D68,Quotes!$J$5:$J$604,H$4,Quotes!$R$5:$R$604,"&lt;&gt;Unavailable")=0,"",_xlfn.MINIFS(Quotes!$M$5:$M$604,Quotes!$E$5:$E$604,$B68,Quotes!$G$5:$G$604,$C68,Quotes!$H$5:$H$604,$D68,Quotes!$J$5:$J$604,H$4,Quotes!$R$5:$R$604,"&lt;&gt;Unavailable"))</f>
        <v/>
      </c>
      <c r="I68" s="23" t="str">
        <f aca="false">IF(COUNTIFS(Quotes!$E$5:$E$604,$B68,Quotes!$G$5:$G$604,$C68,Quotes!$H$5:$H$604,$D68,Quotes!$J$5:$J$604,I$4,Quotes!$R$5:$R$604,"&lt;&gt;Unavailable")=0,"",_xlfn.MINIFS(Quotes!$M$5:$M$604,Quotes!$E$5:$E$604,$B68,Quotes!$G$5:$G$604,$C68,Quotes!$H$5:$H$604,$D68,Quotes!$J$5:$J$604,I$4,Quotes!$R$5:$R$604,"&lt;&gt;Unavailable"))</f>
        <v/>
      </c>
      <c r="J68" s="23" t="str">
        <f aca="false">IF(COUNTIFS(Quotes!$E$5:$E$604,$B68,Quotes!$G$5:$G$604,$C68,Quotes!$H$5:$H$604,$D68,Quotes!$J$5:$J$604,J$4,Quotes!$R$5:$R$604,"&lt;&gt;Unavailable")=0,"",_xlfn.MINIFS(Quotes!$M$5:$M$604,Quotes!$E$5:$E$604,$B68,Quotes!$G$5:$G$604,$C68,Quotes!$H$5:$H$604,$D68,Quotes!$J$5:$J$604,J$4,Quotes!$R$5:$R$604,"&lt;&gt;Unavailable"))</f>
        <v/>
      </c>
      <c r="K68" s="23" t="n">
        <f aca="false">IF(COUNTIFS(Quotes!$E$5:$E$604,$B68,Quotes!$G$5:$G$604,$C68,Quotes!$H$5:$H$604,$D68,Quotes!$J$5:$J$604,K$4,Quotes!$R$5:$R$604,"&lt;&gt;Unavailable")=0,"",_xlfn.MINIFS(Quotes!$M$5:$M$604,Quotes!$E$5:$E$604,$B68,Quotes!$G$5:$G$604,$C68,Quotes!$H$5:$H$604,$D68,Quotes!$J$5:$J$604,K$4,Quotes!$R$5:$R$604,"&lt;&gt;Unavailable"))</f>
        <v>2162.97985153765</v>
      </c>
      <c r="L68" s="24" t="n">
        <f aca="false">IF(COUNT(E68:K68)=0,"",MIN(E68:K68))</f>
        <v>1577.56097560976</v>
      </c>
      <c r="M68" s="25" t="str">
        <f aca="false">IF(L68="","",INDEX($E$4:$K$4,MATCH(L68,E68:K68,0)))</f>
        <v>Ottila</v>
      </c>
      <c r="N68" s="26" t="n">
        <f aca="false">IF(OR(K68="",COUNT(E68:J68)=0),"",K68-MIN(E68:J68))</f>
        <v>585.41887592789</v>
      </c>
    </row>
    <row r="69" customFormat="false" ht="15" hidden="false" customHeight="false" outlineLevel="0" collapsed="false">
      <c r="A69" s="22" t="s">
        <v>181</v>
      </c>
      <c r="B69" s="22" t="s">
        <v>194</v>
      </c>
      <c r="C69" s="22" t="s">
        <v>200</v>
      </c>
      <c r="D69" s="22" t="s">
        <v>75</v>
      </c>
      <c r="E69" s="23" t="str">
        <f aca="false">IF(COUNTIFS(Quotes!$E$5:$E$604,$B69,Quotes!$G$5:$G$604,$C69,Quotes!$H$5:$H$604,$D69,Quotes!$J$5:$J$604,E$4,Quotes!$R$5:$R$604,"&lt;&gt;Unavailable")=0,"",_xlfn.MINIFS(Quotes!$M$5:$M$604,Quotes!$E$5:$E$604,$B69,Quotes!$G$5:$G$604,$C69,Quotes!$H$5:$H$604,$D69,Quotes!$J$5:$J$604,E$4,Quotes!$R$5:$R$604,"&lt;&gt;Unavailable"))</f>
        <v/>
      </c>
      <c r="F69" s="23" t="str">
        <f aca="false">IF(COUNTIFS(Quotes!$E$5:$E$604,$B69,Quotes!$G$5:$G$604,$C69,Quotes!$H$5:$H$604,$D69,Quotes!$J$5:$J$604,F$4,Quotes!$R$5:$R$604,"&lt;&gt;Unavailable")=0,"",_xlfn.MINIFS(Quotes!$M$5:$M$604,Quotes!$E$5:$E$604,$B69,Quotes!$G$5:$G$604,$C69,Quotes!$H$5:$H$604,$D69,Quotes!$J$5:$J$604,F$4,Quotes!$R$5:$R$604,"&lt;&gt;Unavailable"))</f>
        <v/>
      </c>
      <c r="G69" s="23" t="str">
        <f aca="false">IF(COUNTIFS(Quotes!$E$5:$E$604,$B69,Quotes!$G$5:$G$604,$C69,Quotes!$H$5:$H$604,$D69,Quotes!$J$5:$J$604,G$4,Quotes!$R$5:$R$604,"&lt;&gt;Unavailable")=0,"",_xlfn.MINIFS(Quotes!$M$5:$M$604,Quotes!$E$5:$E$604,$B69,Quotes!$G$5:$G$604,$C69,Quotes!$H$5:$H$604,$D69,Quotes!$J$5:$J$604,G$4,Quotes!$R$5:$R$604,"&lt;&gt;Unavailable"))</f>
        <v/>
      </c>
      <c r="H69" s="23" t="str">
        <f aca="false">IF(COUNTIFS(Quotes!$E$5:$E$604,$B69,Quotes!$G$5:$G$604,$C69,Quotes!$H$5:$H$604,$D69,Quotes!$J$5:$J$604,H$4,Quotes!$R$5:$R$604,"&lt;&gt;Unavailable")=0,"",_xlfn.MINIFS(Quotes!$M$5:$M$604,Quotes!$E$5:$E$604,$B69,Quotes!$G$5:$G$604,$C69,Quotes!$H$5:$H$604,$D69,Quotes!$J$5:$J$604,H$4,Quotes!$R$5:$R$604,"&lt;&gt;Unavailable"))</f>
        <v/>
      </c>
      <c r="I69" s="23" t="n">
        <f aca="false">IF(COUNTIFS(Quotes!$E$5:$E$604,$B69,Quotes!$G$5:$G$604,$C69,Quotes!$H$5:$H$604,$D69,Quotes!$J$5:$J$604,I$4,Quotes!$R$5:$R$604,"&lt;&gt;Unavailable")=0,"",_xlfn.MINIFS(Quotes!$M$5:$M$604,Quotes!$E$5:$E$604,$B69,Quotes!$G$5:$G$604,$C69,Quotes!$H$5:$H$604,$D69,Quotes!$J$5:$J$604,I$4,Quotes!$R$5:$R$604,"&lt;&gt;Unavailable"))</f>
        <v>3325</v>
      </c>
      <c r="J69" s="23" t="str">
        <f aca="false">IF(COUNTIFS(Quotes!$E$5:$E$604,$B69,Quotes!$G$5:$G$604,$C69,Quotes!$H$5:$H$604,$D69,Quotes!$J$5:$J$604,J$4,Quotes!$R$5:$R$604,"&lt;&gt;Unavailable")=0,"",_xlfn.MINIFS(Quotes!$M$5:$M$604,Quotes!$E$5:$E$604,$B69,Quotes!$G$5:$G$604,$C69,Quotes!$H$5:$H$604,$D69,Quotes!$J$5:$J$604,J$4,Quotes!$R$5:$R$604,"&lt;&gt;Unavailable"))</f>
        <v/>
      </c>
      <c r="K69" s="23" t="n">
        <f aca="false">IF(COUNTIFS(Quotes!$E$5:$E$604,$B69,Quotes!$G$5:$G$604,$C69,Quotes!$H$5:$H$604,$D69,Quotes!$J$5:$J$604,K$4,Quotes!$R$5:$R$604,"&lt;&gt;Unavailable")=0,"",_xlfn.MINIFS(Quotes!$M$5:$M$604,Quotes!$E$5:$E$604,$B69,Quotes!$G$5:$G$604,$C69,Quotes!$H$5:$H$604,$D69,Quotes!$J$5:$J$604,K$4,Quotes!$R$5:$R$604,"&lt;&gt;Unavailable"))</f>
        <v>2433.35100742312</v>
      </c>
      <c r="L69" s="24" t="n">
        <f aca="false">IF(COUNT(E69:K69)=0,"",MIN(E69:K69))</f>
        <v>2433.35100742312</v>
      </c>
      <c r="M69" s="25" t="str">
        <f aca="false">IF(L69="","",INDEX($E$4:$K$4,MATCH(L69,E69:K69,0)))</f>
        <v>Booking.com</v>
      </c>
      <c r="N69" s="26" t="n">
        <f aca="false">IF(OR(K69="",COUNT(E69:J69)=0),"",K69-MIN(E69:J69))</f>
        <v>-891.648992576882</v>
      </c>
    </row>
    <row r="70" customFormat="false" ht="23.85" hidden="false" customHeight="false" outlineLevel="0" collapsed="false">
      <c r="A70" s="22" t="s">
        <v>181</v>
      </c>
      <c r="B70" s="22" t="s">
        <v>194</v>
      </c>
      <c r="C70" s="22" t="s">
        <v>201</v>
      </c>
      <c r="D70" s="22" t="s">
        <v>75</v>
      </c>
      <c r="E70" s="23" t="n">
        <f aca="false">IF(COUNTIFS(Quotes!$E$5:$E$604,$B70,Quotes!$G$5:$G$604,$C70,Quotes!$H$5:$H$604,$D70,Quotes!$J$5:$J$604,E$4,Quotes!$R$5:$R$604,"&lt;&gt;Unavailable")=0,"",_xlfn.MINIFS(Quotes!$M$5:$M$604,Quotes!$E$5:$E$604,$B70,Quotes!$G$5:$G$604,$C70,Quotes!$H$5:$H$604,$D70,Quotes!$J$5:$J$604,E$4,Quotes!$R$5:$R$604,"&lt;&gt;Unavailable"))</f>
        <v>2073.032873807</v>
      </c>
      <c r="F70" s="23" t="str">
        <f aca="false">IF(COUNTIFS(Quotes!$E$5:$E$604,$B70,Quotes!$G$5:$G$604,$C70,Quotes!$H$5:$H$604,$D70,Quotes!$J$5:$J$604,F$4,Quotes!$R$5:$R$604,"&lt;&gt;Unavailable")=0,"",_xlfn.MINIFS(Quotes!$M$5:$M$604,Quotes!$E$5:$E$604,$B70,Quotes!$G$5:$G$604,$C70,Quotes!$H$5:$H$604,$D70,Quotes!$J$5:$J$604,F$4,Quotes!$R$5:$R$604,"&lt;&gt;Unavailable"))</f>
        <v/>
      </c>
      <c r="G70" s="23" t="str">
        <f aca="false">IF(COUNTIFS(Quotes!$E$5:$E$604,$B70,Quotes!$G$5:$G$604,$C70,Quotes!$H$5:$H$604,$D70,Quotes!$J$5:$J$604,G$4,Quotes!$R$5:$R$604,"&lt;&gt;Unavailable")=0,"",_xlfn.MINIFS(Quotes!$M$5:$M$604,Quotes!$E$5:$E$604,$B70,Quotes!$G$5:$G$604,$C70,Quotes!$H$5:$H$604,$D70,Quotes!$J$5:$J$604,G$4,Quotes!$R$5:$R$604,"&lt;&gt;Unavailable"))</f>
        <v/>
      </c>
      <c r="H70" s="23" t="str">
        <f aca="false">IF(COUNTIFS(Quotes!$E$5:$E$604,$B70,Quotes!$G$5:$G$604,$C70,Quotes!$H$5:$H$604,$D70,Quotes!$J$5:$J$604,H$4,Quotes!$R$5:$R$604,"&lt;&gt;Unavailable")=0,"",_xlfn.MINIFS(Quotes!$M$5:$M$604,Quotes!$E$5:$E$604,$B70,Quotes!$G$5:$G$604,$C70,Quotes!$H$5:$H$604,$D70,Quotes!$J$5:$J$604,H$4,Quotes!$R$5:$R$604,"&lt;&gt;Unavailable"))</f>
        <v/>
      </c>
      <c r="I70" s="23" t="str">
        <f aca="false">IF(COUNTIFS(Quotes!$E$5:$E$604,$B70,Quotes!$G$5:$G$604,$C70,Quotes!$H$5:$H$604,$D70,Quotes!$J$5:$J$604,I$4,Quotes!$R$5:$R$604,"&lt;&gt;Unavailable")=0,"",_xlfn.MINIFS(Quotes!$M$5:$M$604,Quotes!$E$5:$E$604,$B70,Quotes!$G$5:$G$604,$C70,Quotes!$H$5:$H$604,$D70,Quotes!$J$5:$J$604,I$4,Quotes!$R$5:$R$604,"&lt;&gt;Unavailable"))</f>
        <v/>
      </c>
      <c r="J70" s="23" t="str">
        <f aca="false">IF(COUNTIFS(Quotes!$E$5:$E$604,$B70,Quotes!$G$5:$G$604,$C70,Quotes!$H$5:$H$604,$D70,Quotes!$J$5:$J$604,J$4,Quotes!$R$5:$R$604,"&lt;&gt;Unavailable")=0,"",_xlfn.MINIFS(Quotes!$M$5:$M$604,Quotes!$E$5:$E$604,$B70,Quotes!$G$5:$G$604,$C70,Quotes!$H$5:$H$604,$D70,Quotes!$J$5:$J$604,J$4,Quotes!$R$5:$R$604,"&lt;&gt;Unavailable"))</f>
        <v/>
      </c>
      <c r="K70" s="23" t="n">
        <f aca="false">IF(COUNTIFS(Quotes!$E$5:$E$604,$B70,Quotes!$G$5:$G$604,$C70,Quotes!$H$5:$H$604,$D70,Quotes!$J$5:$J$604,K$4,Quotes!$R$5:$R$604,"&lt;&gt;Unavailable")=0,"",_xlfn.MINIFS(Quotes!$M$5:$M$604,Quotes!$E$5:$E$604,$B70,Quotes!$G$5:$G$604,$C70,Quotes!$H$5:$H$604,$D70,Quotes!$J$5:$J$604,K$4,Quotes!$R$5:$R$604,"&lt;&gt;Unavailable"))</f>
        <v>2433.35100742312</v>
      </c>
      <c r="L70" s="24" t="n">
        <f aca="false">IF(COUNT(E70:K70)=0,"",MIN(E70:K70))</f>
        <v>2073.032873807</v>
      </c>
      <c r="M70" s="25" t="str">
        <f aca="false">IF(L70="","",INDEX($E$4:$K$4,MATCH(L70,E70:K70,0)))</f>
        <v>Ottila</v>
      </c>
      <c r="N70" s="26" t="n">
        <f aca="false">IF(OR(K70="",COUNT(E70:J70)=0),"",K70-MIN(E70:J70))</f>
        <v>360.318133616119</v>
      </c>
    </row>
    <row r="71" customFormat="false" ht="15" hidden="false" customHeight="false" outlineLevel="0" collapsed="false">
      <c r="A71" s="22" t="s">
        <v>181</v>
      </c>
      <c r="B71" s="22" t="s">
        <v>194</v>
      </c>
      <c r="C71" s="22" t="s">
        <v>202</v>
      </c>
      <c r="D71" s="22" t="s">
        <v>75</v>
      </c>
      <c r="E71" s="23" t="str">
        <f aca="false">IF(COUNTIFS(Quotes!$E$5:$E$604,$B71,Quotes!$G$5:$G$604,$C71,Quotes!$H$5:$H$604,$D71,Quotes!$J$5:$J$604,E$4,Quotes!$R$5:$R$604,"&lt;&gt;Unavailable")=0,"",_xlfn.MINIFS(Quotes!$M$5:$M$604,Quotes!$E$5:$E$604,$B71,Quotes!$G$5:$G$604,$C71,Quotes!$H$5:$H$604,$D71,Quotes!$J$5:$J$604,E$4,Quotes!$R$5:$R$604,"&lt;&gt;Unavailable"))</f>
        <v/>
      </c>
      <c r="F71" s="23" t="str">
        <f aca="false">IF(COUNTIFS(Quotes!$E$5:$E$604,$B71,Quotes!$G$5:$G$604,$C71,Quotes!$H$5:$H$604,$D71,Quotes!$J$5:$J$604,F$4,Quotes!$R$5:$R$604,"&lt;&gt;Unavailable")=0,"",_xlfn.MINIFS(Quotes!$M$5:$M$604,Quotes!$E$5:$E$604,$B71,Quotes!$G$5:$G$604,$C71,Quotes!$H$5:$H$604,$D71,Quotes!$J$5:$J$604,F$4,Quotes!$R$5:$R$604,"&lt;&gt;Unavailable"))</f>
        <v/>
      </c>
      <c r="G71" s="23" t="str">
        <f aca="false">IF(COUNTIFS(Quotes!$E$5:$E$604,$B71,Quotes!$G$5:$G$604,$C71,Quotes!$H$5:$H$604,$D71,Quotes!$J$5:$J$604,G$4,Quotes!$R$5:$R$604,"&lt;&gt;Unavailable")=0,"",_xlfn.MINIFS(Quotes!$M$5:$M$604,Quotes!$E$5:$E$604,$B71,Quotes!$G$5:$G$604,$C71,Quotes!$H$5:$H$604,$D71,Quotes!$J$5:$J$604,G$4,Quotes!$R$5:$R$604,"&lt;&gt;Unavailable"))</f>
        <v/>
      </c>
      <c r="H71" s="23" t="str">
        <f aca="false">IF(COUNTIFS(Quotes!$E$5:$E$604,$B71,Quotes!$G$5:$G$604,$C71,Quotes!$H$5:$H$604,$D71,Quotes!$J$5:$J$604,H$4,Quotes!$R$5:$R$604,"&lt;&gt;Unavailable")=0,"",_xlfn.MINIFS(Quotes!$M$5:$M$604,Quotes!$E$5:$E$604,$B71,Quotes!$G$5:$G$604,$C71,Quotes!$H$5:$H$604,$D71,Quotes!$J$5:$J$604,H$4,Quotes!$R$5:$R$604,"&lt;&gt;Unavailable"))</f>
        <v/>
      </c>
      <c r="I71" s="23" t="n">
        <f aca="false">IF(COUNTIFS(Quotes!$E$5:$E$604,$B71,Quotes!$G$5:$G$604,$C71,Quotes!$H$5:$H$604,$D71,Quotes!$J$5:$J$604,I$4,Quotes!$R$5:$R$604,"&lt;&gt;Unavailable")=0,"",_xlfn.MINIFS(Quotes!$M$5:$M$604,Quotes!$E$5:$E$604,$B71,Quotes!$G$5:$G$604,$C71,Quotes!$H$5:$H$604,$D71,Quotes!$J$5:$J$604,I$4,Quotes!$R$5:$R$604,"&lt;&gt;Unavailable"))</f>
        <v>3170</v>
      </c>
      <c r="J71" s="23" t="str">
        <f aca="false">IF(COUNTIFS(Quotes!$E$5:$E$604,$B71,Quotes!$G$5:$G$604,$C71,Quotes!$H$5:$H$604,$D71,Quotes!$J$5:$J$604,J$4,Quotes!$R$5:$R$604,"&lt;&gt;Unavailable")=0,"",_xlfn.MINIFS(Quotes!$M$5:$M$604,Quotes!$E$5:$E$604,$B71,Quotes!$G$5:$G$604,$C71,Quotes!$H$5:$H$604,$D71,Quotes!$J$5:$J$604,J$4,Quotes!$R$5:$R$604,"&lt;&gt;Unavailable"))</f>
        <v/>
      </c>
      <c r="K71" s="23" t="n">
        <f aca="false">IF(COUNTIFS(Quotes!$E$5:$E$604,$B71,Quotes!$G$5:$G$604,$C71,Quotes!$H$5:$H$604,$D71,Quotes!$J$5:$J$604,K$4,Quotes!$R$5:$R$604,"&lt;&gt;Unavailable")=0,"",_xlfn.MINIFS(Quotes!$M$5:$M$604,Quotes!$E$5:$E$604,$B71,Quotes!$G$5:$G$604,$C71,Quotes!$H$5:$H$604,$D71,Quotes!$J$5:$J$604,K$4,Quotes!$R$5:$R$604,"&lt;&gt;Unavailable"))</f>
        <v>2433.35100742312</v>
      </c>
      <c r="L71" s="24" t="n">
        <f aca="false">IF(COUNT(E71:K71)=0,"",MIN(E71:K71))</f>
        <v>2433.35100742312</v>
      </c>
      <c r="M71" s="25" t="str">
        <f aca="false">IF(L71="","",INDEX($E$4:$K$4,MATCH(L71,E71:K71,0)))</f>
        <v>Booking.com</v>
      </c>
      <c r="N71" s="26" t="n">
        <f aca="false">IF(OR(K71="",COUNT(E71:J71)=0),"",K71-MIN(E71:J71))</f>
        <v>-736.648992576882</v>
      </c>
    </row>
    <row r="72" customFormat="false" ht="23.85" hidden="false" customHeight="false" outlineLevel="0" collapsed="false">
      <c r="A72" s="22" t="s">
        <v>181</v>
      </c>
      <c r="B72" s="22" t="s">
        <v>194</v>
      </c>
      <c r="C72" s="22" t="s">
        <v>203</v>
      </c>
      <c r="D72" s="22" t="s">
        <v>75</v>
      </c>
      <c r="E72" s="23" t="n">
        <f aca="false">IF(COUNTIFS(Quotes!$E$5:$E$604,$B72,Quotes!$G$5:$G$604,$C72,Quotes!$H$5:$H$604,$D72,Quotes!$J$5:$J$604,E$4,Quotes!$R$5:$R$604,"&lt;&gt;Unavailable")=0,"",_xlfn.MINIFS(Quotes!$M$5:$M$604,Quotes!$E$5:$E$604,$B72,Quotes!$G$5:$G$604,$C72,Quotes!$H$5:$H$604,$D72,Quotes!$J$5:$J$604,E$4,Quotes!$R$5:$R$604,"&lt;&gt;Unavailable"))</f>
        <v>1716.93531283139</v>
      </c>
      <c r="F72" s="23" t="str">
        <f aca="false">IF(COUNTIFS(Quotes!$E$5:$E$604,$B72,Quotes!$G$5:$G$604,$C72,Quotes!$H$5:$H$604,$D72,Quotes!$J$5:$J$604,F$4,Quotes!$R$5:$R$604,"&lt;&gt;Unavailable")=0,"",_xlfn.MINIFS(Quotes!$M$5:$M$604,Quotes!$E$5:$E$604,$B72,Quotes!$G$5:$G$604,$C72,Quotes!$H$5:$H$604,$D72,Quotes!$J$5:$J$604,F$4,Quotes!$R$5:$R$604,"&lt;&gt;Unavailable"))</f>
        <v/>
      </c>
      <c r="G72" s="23" t="str">
        <f aca="false">IF(COUNTIFS(Quotes!$E$5:$E$604,$B72,Quotes!$G$5:$G$604,$C72,Quotes!$H$5:$H$604,$D72,Quotes!$J$5:$J$604,G$4,Quotes!$R$5:$R$604,"&lt;&gt;Unavailable")=0,"",_xlfn.MINIFS(Quotes!$M$5:$M$604,Quotes!$E$5:$E$604,$B72,Quotes!$G$5:$G$604,$C72,Quotes!$H$5:$H$604,$D72,Quotes!$J$5:$J$604,G$4,Quotes!$R$5:$R$604,"&lt;&gt;Unavailable"))</f>
        <v/>
      </c>
      <c r="H72" s="23" t="str">
        <f aca="false">IF(COUNTIFS(Quotes!$E$5:$E$604,$B72,Quotes!$G$5:$G$604,$C72,Quotes!$H$5:$H$604,$D72,Quotes!$J$5:$J$604,H$4,Quotes!$R$5:$R$604,"&lt;&gt;Unavailable")=0,"",_xlfn.MINIFS(Quotes!$M$5:$M$604,Quotes!$E$5:$E$604,$B72,Quotes!$G$5:$G$604,$C72,Quotes!$H$5:$H$604,$D72,Quotes!$J$5:$J$604,H$4,Quotes!$R$5:$R$604,"&lt;&gt;Unavailable"))</f>
        <v/>
      </c>
      <c r="I72" s="23" t="str">
        <f aca="false">IF(COUNTIFS(Quotes!$E$5:$E$604,$B72,Quotes!$G$5:$G$604,$C72,Quotes!$H$5:$H$604,$D72,Quotes!$J$5:$J$604,I$4,Quotes!$R$5:$R$604,"&lt;&gt;Unavailable")=0,"",_xlfn.MINIFS(Quotes!$M$5:$M$604,Quotes!$E$5:$E$604,$B72,Quotes!$G$5:$G$604,$C72,Quotes!$H$5:$H$604,$D72,Quotes!$J$5:$J$604,I$4,Quotes!$R$5:$R$604,"&lt;&gt;Unavailable"))</f>
        <v/>
      </c>
      <c r="J72" s="23" t="str">
        <f aca="false">IF(COUNTIFS(Quotes!$E$5:$E$604,$B72,Quotes!$G$5:$G$604,$C72,Quotes!$H$5:$H$604,$D72,Quotes!$J$5:$J$604,J$4,Quotes!$R$5:$R$604,"&lt;&gt;Unavailable")=0,"",_xlfn.MINIFS(Quotes!$M$5:$M$604,Quotes!$E$5:$E$604,$B72,Quotes!$G$5:$G$604,$C72,Quotes!$H$5:$H$604,$D72,Quotes!$J$5:$J$604,J$4,Quotes!$R$5:$R$604,"&lt;&gt;Unavailable"))</f>
        <v/>
      </c>
      <c r="K72" s="23" t="n">
        <f aca="false">IF(COUNTIFS(Quotes!$E$5:$E$604,$B72,Quotes!$G$5:$G$604,$C72,Quotes!$H$5:$H$604,$D72,Quotes!$J$5:$J$604,K$4,Quotes!$R$5:$R$604,"&lt;&gt;Unavailable")=0,"",_xlfn.MINIFS(Quotes!$M$5:$M$604,Quotes!$E$5:$E$604,$B72,Quotes!$G$5:$G$604,$C72,Quotes!$H$5:$H$604,$D72,Quotes!$J$5:$J$604,K$4,Quotes!$R$5:$R$604,"&lt;&gt;Unavailable"))</f>
        <v>2433.35100742312</v>
      </c>
      <c r="L72" s="24" t="n">
        <f aca="false">IF(COUNT(E72:K72)=0,"",MIN(E72:K72))</f>
        <v>1716.93531283139</v>
      </c>
      <c r="M72" s="25" t="str">
        <f aca="false">IF(L72="","",INDEX($E$4:$K$4,MATCH(L72,E72:K72,0)))</f>
        <v>Ottila</v>
      </c>
      <c r="N72" s="26" t="n">
        <f aca="false">IF(OR(K72="",COUNT(E72:J72)=0),"",K72-MIN(E72:J72))</f>
        <v>716.415694591728</v>
      </c>
    </row>
    <row r="73" customFormat="false" ht="15" hidden="false" customHeight="false" outlineLevel="0" collapsed="false">
      <c r="A73" s="22" t="s">
        <v>181</v>
      </c>
      <c r="B73" s="22" t="s">
        <v>204</v>
      </c>
      <c r="C73" s="22" t="s">
        <v>205</v>
      </c>
      <c r="D73" s="22" t="s">
        <v>75</v>
      </c>
      <c r="E73" s="23" t="n">
        <f aca="false">IF(COUNTIFS(Quotes!$E$5:$E$604,$B73,Quotes!$G$5:$G$604,$C73,Quotes!$H$5:$H$604,$D73,Quotes!$J$5:$J$604,E$4,Quotes!$R$5:$R$604,"&lt;&gt;Unavailable")=0,"",_xlfn.MINIFS(Quotes!$M$5:$M$604,Quotes!$E$5:$E$604,$B73,Quotes!$G$5:$G$604,$C73,Quotes!$H$5:$H$604,$D73,Quotes!$J$5:$J$604,E$4,Quotes!$R$5:$R$604,"&lt;&gt;Unavailable"))</f>
        <v>2003.88123011665</v>
      </c>
      <c r="F73" s="23" t="str">
        <f aca="false">IF(COUNTIFS(Quotes!$E$5:$E$604,$B73,Quotes!$G$5:$G$604,$C73,Quotes!$H$5:$H$604,$D73,Quotes!$J$5:$J$604,F$4,Quotes!$R$5:$R$604,"&lt;&gt;Unavailable")=0,"",_xlfn.MINIFS(Quotes!$M$5:$M$604,Quotes!$E$5:$E$604,$B73,Quotes!$G$5:$G$604,$C73,Quotes!$H$5:$H$604,$D73,Quotes!$J$5:$J$604,F$4,Quotes!$R$5:$R$604,"&lt;&gt;Unavailable"))</f>
        <v/>
      </c>
      <c r="G73" s="23" t="str">
        <f aca="false">IF(COUNTIFS(Quotes!$E$5:$E$604,$B73,Quotes!$G$5:$G$604,$C73,Quotes!$H$5:$H$604,$D73,Quotes!$J$5:$J$604,G$4,Quotes!$R$5:$R$604,"&lt;&gt;Unavailable")=0,"",_xlfn.MINIFS(Quotes!$M$5:$M$604,Quotes!$E$5:$E$604,$B73,Quotes!$G$5:$G$604,$C73,Quotes!$H$5:$H$604,$D73,Quotes!$J$5:$J$604,G$4,Quotes!$R$5:$R$604,"&lt;&gt;Unavailable"))</f>
        <v/>
      </c>
      <c r="H73" s="23" t="str">
        <f aca="false">IF(COUNTIFS(Quotes!$E$5:$E$604,$B73,Quotes!$G$5:$G$604,$C73,Quotes!$H$5:$H$604,$D73,Quotes!$J$5:$J$604,H$4,Quotes!$R$5:$R$604,"&lt;&gt;Unavailable")=0,"",_xlfn.MINIFS(Quotes!$M$5:$M$604,Quotes!$E$5:$E$604,$B73,Quotes!$G$5:$G$604,$C73,Quotes!$H$5:$H$604,$D73,Quotes!$J$5:$J$604,H$4,Quotes!$R$5:$R$604,"&lt;&gt;Unavailable"))</f>
        <v/>
      </c>
      <c r="I73" s="23" t="str">
        <f aca="false">IF(COUNTIFS(Quotes!$E$5:$E$604,$B73,Quotes!$G$5:$G$604,$C73,Quotes!$H$5:$H$604,$D73,Quotes!$J$5:$J$604,I$4,Quotes!$R$5:$R$604,"&lt;&gt;Unavailable")=0,"",_xlfn.MINIFS(Quotes!$M$5:$M$604,Quotes!$E$5:$E$604,$B73,Quotes!$G$5:$G$604,$C73,Quotes!$H$5:$H$604,$D73,Quotes!$J$5:$J$604,I$4,Quotes!$R$5:$R$604,"&lt;&gt;Unavailable"))</f>
        <v/>
      </c>
      <c r="J73" s="23" t="str">
        <f aca="false">IF(COUNTIFS(Quotes!$E$5:$E$604,$B73,Quotes!$G$5:$G$604,$C73,Quotes!$H$5:$H$604,$D73,Quotes!$J$5:$J$604,J$4,Quotes!$R$5:$R$604,"&lt;&gt;Unavailable")=0,"",_xlfn.MINIFS(Quotes!$M$5:$M$604,Quotes!$E$5:$E$604,$B73,Quotes!$G$5:$G$604,$C73,Quotes!$H$5:$H$604,$D73,Quotes!$J$5:$J$604,J$4,Quotes!$R$5:$R$604,"&lt;&gt;Unavailable"))</f>
        <v/>
      </c>
      <c r="K73" s="23" t="str">
        <f aca="false">IF(COUNTIFS(Quotes!$E$5:$E$604,$B73,Quotes!$G$5:$G$604,$C73,Quotes!$H$5:$H$604,$D73,Quotes!$J$5:$J$604,K$4,Quotes!$R$5:$R$604,"&lt;&gt;Unavailable")=0,"",_xlfn.MINIFS(Quotes!$M$5:$M$604,Quotes!$E$5:$E$604,$B73,Quotes!$G$5:$G$604,$C73,Quotes!$H$5:$H$604,$D73,Quotes!$J$5:$J$604,K$4,Quotes!$R$5:$R$604,"&lt;&gt;Unavailable"))</f>
        <v/>
      </c>
      <c r="L73" s="24" t="n">
        <f aca="false">IF(COUNT(E73:K73)=0,"",MIN(E73:K73))</f>
        <v>2003.88123011665</v>
      </c>
      <c r="M73" s="25" t="str">
        <f aca="false">IF(L73="","",INDEX($E$4:$K$4,MATCH(L73,E73:K73,0)))</f>
        <v>Ottila</v>
      </c>
      <c r="N73" s="26" t="str">
        <f aca="false">IF(OR(K73="",COUNT(E73:J73)=0),"",K73-MIN(E73:J73))</f>
        <v/>
      </c>
    </row>
    <row r="74" customFormat="false" ht="15" hidden="false" customHeight="false" outlineLevel="0" collapsed="false">
      <c r="A74" s="22" t="s">
        <v>206</v>
      </c>
      <c r="B74" s="22" t="s">
        <v>207</v>
      </c>
      <c r="C74" s="22" t="s">
        <v>208</v>
      </c>
      <c r="D74" s="22" t="s">
        <v>209</v>
      </c>
      <c r="E74" s="23" t="n">
        <f aca="false">IF(COUNTIFS(Quotes!$E$5:$E$604,$B74,Quotes!$G$5:$G$604,$C74,Quotes!$H$5:$H$604,$D74,Quotes!$J$5:$J$604,E$4,Quotes!$R$5:$R$604,"&lt;&gt;Unavailable")=0,"",_xlfn.MINIFS(Quotes!$M$5:$M$604,Quotes!$E$5:$E$604,$B74,Quotes!$G$5:$G$604,$C74,Quotes!$H$5:$H$604,$D74,Quotes!$J$5:$J$604,E$4,Quotes!$R$5:$R$604,"&lt;&gt;Unavailable"))</f>
        <v>123.584305408271</v>
      </c>
      <c r="F74" s="23" t="str">
        <f aca="false">IF(COUNTIFS(Quotes!$E$5:$E$604,$B74,Quotes!$G$5:$G$604,$C74,Quotes!$H$5:$H$604,$D74,Quotes!$J$5:$J$604,F$4,Quotes!$R$5:$R$604,"&lt;&gt;Unavailable")=0,"",_xlfn.MINIFS(Quotes!$M$5:$M$604,Quotes!$E$5:$E$604,$B74,Quotes!$G$5:$G$604,$C74,Quotes!$H$5:$H$604,$D74,Quotes!$J$5:$J$604,F$4,Quotes!$R$5:$R$604,"&lt;&gt;Unavailable"))</f>
        <v/>
      </c>
      <c r="G74" s="23" t="str">
        <f aca="false">IF(COUNTIFS(Quotes!$E$5:$E$604,$B74,Quotes!$G$5:$G$604,$C74,Quotes!$H$5:$H$604,$D74,Quotes!$J$5:$J$604,G$4,Quotes!$R$5:$R$604,"&lt;&gt;Unavailable")=0,"",_xlfn.MINIFS(Quotes!$M$5:$M$604,Quotes!$E$5:$E$604,$B74,Quotes!$G$5:$G$604,$C74,Quotes!$H$5:$H$604,$D74,Quotes!$J$5:$J$604,G$4,Quotes!$R$5:$R$604,"&lt;&gt;Unavailable"))</f>
        <v/>
      </c>
      <c r="H74" s="23" t="str">
        <f aca="false">IF(COUNTIFS(Quotes!$E$5:$E$604,$B74,Quotes!$G$5:$G$604,$C74,Quotes!$H$5:$H$604,$D74,Quotes!$J$5:$J$604,H$4,Quotes!$R$5:$R$604,"&lt;&gt;Unavailable")=0,"",_xlfn.MINIFS(Quotes!$M$5:$M$604,Quotes!$E$5:$E$604,$B74,Quotes!$G$5:$G$604,$C74,Quotes!$H$5:$H$604,$D74,Quotes!$J$5:$J$604,H$4,Quotes!$R$5:$R$604,"&lt;&gt;Unavailable"))</f>
        <v/>
      </c>
      <c r="I74" s="23" t="n">
        <f aca="false">IF(COUNTIFS(Quotes!$E$5:$E$604,$B74,Quotes!$G$5:$G$604,$C74,Quotes!$H$5:$H$604,$D74,Quotes!$J$5:$J$604,I$4,Quotes!$R$5:$R$604,"&lt;&gt;Unavailable")=0,"",_xlfn.MINIFS(Quotes!$M$5:$M$604,Quotes!$E$5:$E$604,$B74,Quotes!$G$5:$G$604,$C74,Quotes!$H$5:$H$604,$D74,Quotes!$J$5:$J$604,I$4,Quotes!$R$5:$R$604,"&lt;&gt;Unavailable"))</f>
        <v>140</v>
      </c>
      <c r="J74" s="23" t="str">
        <f aca="false">IF(COUNTIFS(Quotes!$E$5:$E$604,$B74,Quotes!$G$5:$G$604,$C74,Quotes!$H$5:$H$604,$D74,Quotes!$J$5:$J$604,J$4,Quotes!$R$5:$R$604,"&lt;&gt;Unavailable")=0,"",_xlfn.MINIFS(Quotes!$M$5:$M$604,Quotes!$E$5:$E$604,$B74,Quotes!$G$5:$G$604,$C74,Quotes!$H$5:$H$604,$D74,Quotes!$J$5:$J$604,J$4,Quotes!$R$5:$R$604,"&lt;&gt;Unavailable"))</f>
        <v/>
      </c>
      <c r="K74" s="23" t="n">
        <f aca="false">IF(COUNTIFS(Quotes!$E$5:$E$604,$B74,Quotes!$G$5:$G$604,$C74,Quotes!$H$5:$H$604,$D74,Quotes!$J$5:$J$604,K$4,Quotes!$R$5:$R$604,"&lt;&gt;Unavailable")=0,"",_xlfn.MINIFS(Quotes!$M$5:$M$604,Quotes!$E$5:$E$604,$B74,Quotes!$G$5:$G$604,$C74,Quotes!$H$5:$H$604,$D74,Quotes!$J$5:$J$604,K$4,Quotes!$R$5:$R$604,"&lt;&gt;Unavailable"))</f>
        <v>127.804878048781</v>
      </c>
      <c r="L74" s="24" t="n">
        <f aca="false">IF(COUNT(E74:K74)=0,"",MIN(E74:K74))</f>
        <v>123.584305408271</v>
      </c>
      <c r="M74" s="25" t="str">
        <f aca="false">IF(L74="","",INDEX($E$4:$K$4,MATCH(L74,E74:K74,0)))</f>
        <v>Ottila</v>
      </c>
      <c r="N74" s="26" t="n">
        <f aca="false">IF(OR(K74="",COUNT(E74:J74)=0),"",K74-MIN(E74:J74))</f>
        <v>4.22057264050902</v>
      </c>
    </row>
    <row r="75" customFormat="false" ht="23.85" hidden="false" customHeight="false" outlineLevel="0" collapsed="false">
      <c r="A75" s="22" t="s">
        <v>206</v>
      </c>
      <c r="B75" s="22" t="s">
        <v>210</v>
      </c>
      <c r="C75" s="22" t="s">
        <v>211</v>
      </c>
      <c r="D75" s="22" t="s">
        <v>209</v>
      </c>
      <c r="E75" s="23" t="str">
        <f aca="false">IF(COUNTIFS(Quotes!$E$5:$E$604,$B75,Quotes!$G$5:$G$604,$C75,Quotes!$H$5:$H$604,$D75,Quotes!$J$5:$J$604,E$4,Quotes!$R$5:$R$604,"&lt;&gt;Unavailable")=0,"",_xlfn.MINIFS(Quotes!$M$5:$M$604,Quotes!$E$5:$E$604,$B75,Quotes!$G$5:$G$604,$C75,Quotes!$H$5:$H$604,$D75,Quotes!$J$5:$J$604,E$4,Quotes!$R$5:$R$604,"&lt;&gt;Unavailable"))</f>
        <v/>
      </c>
      <c r="F75" s="23" t="n">
        <f aca="false">IF(COUNTIFS(Quotes!$E$5:$E$604,$B75,Quotes!$G$5:$G$604,$C75,Quotes!$H$5:$H$604,$D75,Quotes!$J$5:$J$604,F$4,Quotes!$R$5:$R$604,"&lt;&gt;Unavailable")=0,"",_xlfn.MINIFS(Quotes!$M$5:$M$604,Quotes!$E$5:$E$604,$B75,Quotes!$G$5:$G$604,$C75,Quotes!$H$5:$H$604,$D75,Quotes!$J$5:$J$604,F$4,Quotes!$R$5:$R$604,"&lt;&gt;Unavailable"))</f>
        <v>92.7253446447508</v>
      </c>
      <c r="G75" s="23" t="str">
        <f aca="false">IF(COUNTIFS(Quotes!$E$5:$E$604,$B75,Quotes!$G$5:$G$604,$C75,Quotes!$H$5:$H$604,$D75,Quotes!$J$5:$J$604,G$4,Quotes!$R$5:$R$604,"&lt;&gt;Unavailable")=0,"",_xlfn.MINIFS(Quotes!$M$5:$M$604,Quotes!$E$5:$E$604,$B75,Quotes!$G$5:$G$604,$C75,Quotes!$H$5:$H$604,$D75,Quotes!$J$5:$J$604,G$4,Quotes!$R$5:$R$604,"&lt;&gt;Unavailable"))</f>
        <v/>
      </c>
      <c r="H75" s="23" t="str">
        <f aca="false">IF(COUNTIFS(Quotes!$E$5:$E$604,$B75,Quotes!$G$5:$G$604,$C75,Quotes!$H$5:$H$604,$D75,Quotes!$J$5:$J$604,H$4,Quotes!$R$5:$R$604,"&lt;&gt;Unavailable")=0,"",_xlfn.MINIFS(Quotes!$M$5:$M$604,Quotes!$E$5:$E$604,$B75,Quotes!$G$5:$G$604,$C75,Quotes!$H$5:$H$604,$D75,Quotes!$J$5:$J$604,H$4,Quotes!$R$5:$R$604,"&lt;&gt;Unavailable"))</f>
        <v/>
      </c>
      <c r="I75" s="23" t="n">
        <f aca="false">IF(COUNTIFS(Quotes!$E$5:$E$604,$B75,Quotes!$G$5:$G$604,$C75,Quotes!$H$5:$H$604,$D75,Quotes!$J$5:$J$604,I$4,Quotes!$R$5:$R$604,"&lt;&gt;Unavailable")=0,"",_xlfn.MINIFS(Quotes!$M$5:$M$604,Quotes!$E$5:$E$604,$B75,Quotes!$G$5:$G$604,$C75,Quotes!$H$5:$H$604,$D75,Quotes!$J$5:$J$604,I$4,Quotes!$R$5:$R$604,"&lt;&gt;Unavailable"))</f>
        <v>142</v>
      </c>
      <c r="J75" s="23" t="str">
        <f aca="false">IF(COUNTIFS(Quotes!$E$5:$E$604,$B75,Quotes!$G$5:$G$604,$C75,Quotes!$H$5:$H$604,$D75,Quotes!$J$5:$J$604,J$4,Quotes!$R$5:$R$604,"&lt;&gt;Unavailable")=0,"",_xlfn.MINIFS(Quotes!$M$5:$M$604,Quotes!$E$5:$E$604,$B75,Quotes!$G$5:$G$604,$C75,Quotes!$H$5:$H$604,$D75,Quotes!$J$5:$J$604,J$4,Quotes!$R$5:$R$604,"&lt;&gt;Unavailable"))</f>
        <v/>
      </c>
      <c r="K75" s="23" t="n">
        <f aca="false">IF(COUNTIFS(Quotes!$E$5:$E$604,$B75,Quotes!$G$5:$G$604,$C75,Quotes!$H$5:$H$604,$D75,Quotes!$J$5:$J$604,K$4,Quotes!$R$5:$R$604,"&lt;&gt;Unavailable")=0,"",_xlfn.MINIFS(Quotes!$M$5:$M$604,Quotes!$E$5:$E$604,$B75,Quotes!$G$5:$G$604,$C75,Quotes!$H$5:$H$604,$D75,Quotes!$J$5:$J$604,K$4,Quotes!$R$5:$R$604,"&lt;&gt;Unavailable"))</f>
        <v>115.620360551432</v>
      </c>
      <c r="L75" s="24" t="n">
        <f aca="false">IF(COUNT(E75:K75)=0,"",MIN(E75:K75))</f>
        <v>92.7253446447508</v>
      </c>
      <c r="M75" s="25" t="str">
        <f aca="false">IF(L75="","",INDEX($E$4:$K$4,MATCH(L75,E75:K75,0)))</f>
        <v>TBO</v>
      </c>
      <c r="N75" s="26" t="n">
        <f aca="false">IF(OR(K75="",COUNT(E75:J75)=0),"",K75-MIN(E75:J75))</f>
        <v>22.8950159066808</v>
      </c>
    </row>
  </sheetData>
  <conditionalFormatting sqref="E5:K5">
    <cfRule type="expression" priority="2" aboveAverage="0" equalAverage="0" bottom="0" percent="0" rank="0" text="" dxfId="12">
      <formula>AND(ISNUMBER(E5),E5=$L$5)</formula>
    </cfRule>
  </conditionalFormatting>
  <conditionalFormatting sqref="E6:K6">
    <cfRule type="expression" priority="3" aboveAverage="0" equalAverage="0" bottom="0" percent="0" rank="0" text="" dxfId="12">
      <formula>AND(ISNUMBER(E6),E6=$L$6)</formula>
    </cfRule>
  </conditionalFormatting>
  <conditionalFormatting sqref="E7:K7">
    <cfRule type="expression" priority="4" aboveAverage="0" equalAverage="0" bottom="0" percent="0" rank="0" text="" dxfId="12">
      <formula>AND(ISNUMBER(E7),E7=$L$7)</formula>
    </cfRule>
  </conditionalFormatting>
  <conditionalFormatting sqref="E8:K8">
    <cfRule type="expression" priority="5" aboveAverage="0" equalAverage="0" bottom="0" percent="0" rank="0" text="" dxfId="12">
      <formula>AND(ISNUMBER(E8),E8=$L$8)</formula>
    </cfRule>
  </conditionalFormatting>
  <conditionalFormatting sqref="E9:K9">
    <cfRule type="expression" priority="6" aboveAverage="0" equalAverage="0" bottom="0" percent="0" rank="0" text="" dxfId="12">
      <formula>AND(ISNUMBER(E9),E9=$L$9)</formula>
    </cfRule>
  </conditionalFormatting>
  <conditionalFormatting sqref="E10:K10">
    <cfRule type="expression" priority="7" aboveAverage="0" equalAverage="0" bottom="0" percent="0" rank="0" text="" dxfId="12">
      <formula>AND(ISNUMBER(E10),E10=$L$10)</formula>
    </cfRule>
  </conditionalFormatting>
  <conditionalFormatting sqref="E11:K11">
    <cfRule type="expression" priority="8" aboveAverage="0" equalAverage="0" bottom="0" percent="0" rank="0" text="" dxfId="12">
      <formula>AND(ISNUMBER(E11),E11=$L$11)</formula>
    </cfRule>
  </conditionalFormatting>
  <conditionalFormatting sqref="E12:K12">
    <cfRule type="expression" priority="9" aboveAverage="0" equalAverage="0" bottom="0" percent="0" rank="0" text="" dxfId="12">
      <formula>AND(ISNUMBER(E12),E12=$L$12)</formula>
    </cfRule>
  </conditionalFormatting>
  <conditionalFormatting sqref="E13:K13">
    <cfRule type="expression" priority="10" aboveAverage="0" equalAverage="0" bottom="0" percent="0" rank="0" text="" dxfId="12">
      <formula>AND(ISNUMBER(E13),E13=$L$13)</formula>
    </cfRule>
  </conditionalFormatting>
  <conditionalFormatting sqref="E14:K14">
    <cfRule type="expression" priority="11" aboveAverage="0" equalAverage="0" bottom="0" percent="0" rank="0" text="" dxfId="12">
      <formula>AND(ISNUMBER(E14),E14=$L$14)</formula>
    </cfRule>
  </conditionalFormatting>
  <conditionalFormatting sqref="E15:K15">
    <cfRule type="expression" priority="12" aboveAverage="0" equalAverage="0" bottom="0" percent="0" rank="0" text="" dxfId="12">
      <formula>AND(ISNUMBER(E15),E15=$L$15)</formula>
    </cfRule>
  </conditionalFormatting>
  <conditionalFormatting sqref="E16:K16">
    <cfRule type="expression" priority="13" aboveAverage="0" equalAverage="0" bottom="0" percent="0" rank="0" text="" dxfId="12">
      <formula>AND(ISNUMBER(E16),E16=$L$16)</formula>
    </cfRule>
  </conditionalFormatting>
  <conditionalFormatting sqref="E17:K17">
    <cfRule type="expression" priority="14" aboveAverage="0" equalAverage="0" bottom="0" percent="0" rank="0" text="" dxfId="12">
      <formula>AND(ISNUMBER(E17),E17=$L$17)</formula>
    </cfRule>
  </conditionalFormatting>
  <conditionalFormatting sqref="E18:K18">
    <cfRule type="expression" priority="15" aboveAverage="0" equalAverage="0" bottom="0" percent="0" rank="0" text="" dxfId="12">
      <formula>AND(ISNUMBER(E18),E18=$L$18)</formula>
    </cfRule>
  </conditionalFormatting>
  <conditionalFormatting sqref="E19:K19">
    <cfRule type="expression" priority="16" aboveAverage="0" equalAverage="0" bottom="0" percent="0" rank="0" text="" dxfId="12">
      <formula>AND(ISNUMBER(E19),E19=$L$19)</formula>
    </cfRule>
  </conditionalFormatting>
  <conditionalFormatting sqref="E20:K20">
    <cfRule type="expression" priority="17" aboveAverage="0" equalAverage="0" bottom="0" percent="0" rank="0" text="" dxfId="12">
      <formula>AND(ISNUMBER(E20),E20=$L$20)</formula>
    </cfRule>
  </conditionalFormatting>
  <conditionalFormatting sqref="E21:K21">
    <cfRule type="expression" priority="18" aboveAverage="0" equalAverage="0" bottom="0" percent="0" rank="0" text="" dxfId="12">
      <formula>AND(ISNUMBER(E21),E21=$L$21)</formula>
    </cfRule>
  </conditionalFormatting>
  <conditionalFormatting sqref="E22:K22">
    <cfRule type="expression" priority="19" aboveAverage="0" equalAverage="0" bottom="0" percent="0" rank="0" text="" dxfId="12">
      <formula>AND(ISNUMBER(E22),E22=$L$22)</formula>
    </cfRule>
  </conditionalFormatting>
  <conditionalFormatting sqref="E23:K23">
    <cfRule type="expression" priority="20" aboveAverage="0" equalAverage="0" bottom="0" percent="0" rank="0" text="" dxfId="12">
      <formula>AND(ISNUMBER(E23),E23=$L$23)</formula>
    </cfRule>
  </conditionalFormatting>
  <conditionalFormatting sqref="E24:K24">
    <cfRule type="expression" priority="21" aboveAverage="0" equalAverage="0" bottom="0" percent="0" rank="0" text="" dxfId="12">
      <formula>AND(ISNUMBER(E24),E24=$L$24)</formula>
    </cfRule>
  </conditionalFormatting>
  <conditionalFormatting sqref="E25:K25">
    <cfRule type="expression" priority="22" aboveAverage="0" equalAverage="0" bottom="0" percent="0" rank="0" text="" dxfId="12">
      <formula>AND(ISNUMBER(E25),E25=$L$25)</formula>
    </cfRule>
  </conditionalFormatting>
  <conditionalFormatting sqref="E26:K26">
    <cfRule type="expression" priority="23" aboveAverage="0" equalAverage="0" bottom="0" percent="0" rank="0" text="" dxfId="12">
      <formula>AND(ISNUMBER(E26),E26=$L$26)</formula>
    </cfRule>
  </conditionalFormatting>
  <conditionalFormatting sqref="E27:K27">
    <cfRule type="expression" priority="24" aboveAverage="0" equalAverage="0" bottom="0" percent="0" rank="0" text="" dxfId="12">
      <formula>AND(ISNUMBER(E27),E27=$L$27)</formula>
    </cfRule>
  </conditionalFormatting>
  <conditionalFormatting sqref="E28:K28">
    <cfRule type="expression" priority="25" aboveAverage="0" equalAverage="0" bottom="0" percent="0" rank="0" text="" dxfId="12">
      <formula>AND(ISNUMBER(E28),E28=$L$28)</formula>
    </cfRule>
  </conditionalFormatting>
  <conditionalFormatting sqref="E29:K29">
    <cfRule type="expression" priority="26" aboveAverage="0" equalAverage="0" bottom="0" percent="0" rank="0" text="" dxfId="12">
      <formula>AND(ISNUMBER(E29),E29=$L$29)</formula>
    </cfRule>
  </conditionalFormatting>
  <conditionalFormatting sqref="E30:K30">
    <cfRule type="expression" priority="27" aboveAverage="0" equalAverage="0" bottom="0" percent="0" rank="0" text="" dxfId="12">
      <formula>AND(ISNUMBER(E30),E30=$L$30)</formula>
    </cfRule>
  </conditionalFormatting>
  <conditionalFormatting sqref="E31:K31">
    <cfRule type="expression" priority="28" aboveAverage="0" equalAverage="0" bottom="0" percent="0" rank="0" text="" dxfId="12">
      <formula>AND(ISNUMBER(E31),E31=$L$31)</formula>
    </cfRule>
  </conditionalFormatting>
  <conditionalFormatting sqref="E32:K32">
    <cfRule type="expression" priority="29" aboveAverage="0" equalAverage="0" bottom="0" percent="0" rank="0" text="" dxfId="12">
      <formula>AND(ISNUMBER(E32),E32=$L$32)</formula>
    </cfRule>
  </conditionalFormatting>
  <conditionalFormatting sqref="E33:K33">
    <cfRule type="expression" priority="30" aboveAverage="0" equalAverage="0" bottom="0" percent="0" rank="0" text="" dxfId="12">
      <formula>AND(ISNUMBER(E33),E33=$L$33)</formula>
    </cfRule>
  </conditionalFormatting>
  <conditionalFormatting sqref="E34:K34">
    <cfRule type="expression" priority="31" aboveAverage="0" equalAverage="0" bottom="0" percent="0" rank="0" text="" dxfId="12">
      <formula>AND(ISNUMBER(E34),E34=$L$34)</formula>
    </cfRule>
  </conditionalFormatting>
  <conditionalFormatting sqref="E35:K35">
    <cfRule type="expression" priority="32" aboveAverage="0" equalAverage="0" bottom="0" percent="0" rank="0" text="" dxfId="12">
      <formula>AND(ISNUMBER(E35),E35=$L$35)</formula>
    </cfRule>
  </conditionalFormatting>
  <conditionalFormatting sqref="E36:K36">
    <cfRule type="expression" priority="33" aboveAverage="0" equalAverage="0" bottom="0" percent="0" rank="0" text="" dxfId="12">
      <formula>AND(ISNUMBER(E36),E36=$L$36)</formula>
    </cfRule>
  </conditionalFormatting>
  <conditionalFormatting sqref="E37:K37">
    <cfRule type="expression" priority="34" aboveAverage="0" equalAverage="0" bottom="0" percent="0" rank="0" text="" dxfId="12">
      <formula>AND(ISNUMBER(E37),E37=$L$37)</formula>
    </cfRule>
  </conditionalFormatting>
  <conditionalFormatting sqref="E38:K38">
    <cfRule type="expression" priority="35" aboveAverage="0" equalAverage="0" bottom="0" percent="0" rank="0" text="" dxfId="12">
      <formula>AND(ISNUMBER(E38),E38=$L$38)</formula>
    </cfRule>
  </conditionalFormatting>
  <conditionalFormatting sqref="E39:K39">
    <cfRule type="expression" priority="36" aboveAverage="0" equalAverage="0" bottom="0" percent="0" rank="0" text="" dxfId="12">
      <formula>AND(ISNUMBER(E39),E39=$L$39)</formula>
    </cfRule>
  </conditionalFormatting>
  <conditionalFormatting sqref="E40:K40">
    <cfRule type="expression" priority="37" aboveAverage="0" equalAverage="0" bottom="0" percent="0" rank="0" text="" dxfId="12">
      <formula>AND(ISNUMBER(E40),E40=$L$40)</formula>
    </cfRule>
  </conditionalFormatting>
  <conditionalFormatting sqref="E41:K41">
    <cfRule type="expression" priority="38" aboveAverage="0" equalAverage="0" bottom="0" percent="0" rank="0" text="" dxfId="12">
      <formula>AND(ISNUMBER(E41),E41=$L$41)</formula>
    </cfRule>
  </conditionalFormatting>
  <conditionalFormatting sqref="E42:K42">
    <cfRule type="expression" priority="39" aboveAverage="0" equalAverage="0" bottom="0" percent="0" rank="0" text="" dxfId="12">
      <formula>AND(ISNUMBER(E42),E42=$L$42)</formula>
    </cfRule>
  </conditionalFormatting>
  <conditionalFormatting sqref="E43:K43">
    <cfRule type="expression" priority="40" aboveAverage="0" equalAverage="0" bottom="0" percent="0" rank="0" text="" dxfId="12">
      <formula>AND(ISNUMBER(E43),E43=$L$43)</formula>
    </cfRule>
  </conditionalFormatting>
  <conditionalFormatting sqref="E44:K44">
    <cfRule type="expression" priority="41" aboveAverage="0" equalAverage="0" bottom="0" percent="0" rank="0" text="" dxfId="12">
      <formula>AND(ISNUMBER(E44),E44=$L$44)</formula>
    </cfRule>
  </conditionalFormatting>
  <conditionalFormatting sqref="E45:K45">
    <cfRule type="expression" priority="42" aboveAverage="0" equalAverage="0" bottom="0" percent="0" rank="0" text="" dxfId="12">
      <formula>AND(ISNUMBER(E45),E45=$L$45)</formula>
    </cfRule>
  </conditionalFormatting>
  <conditionalFormatting sqref="E46:K46">
    <cfRule type="expression" priority="43" aboveAverage="0" equalAverage="0" bottom="0" percent="0" rank="0" text="" dxfId="12">
      <formula>AND(ISNUMBER(E46),E46=$L$46)</formula>
    </cfRule>
  </conditionalFormatting>
  <conditionalFormatting sqref="E47:K47">
    <cfRule type="expression" priority="44" aboveAverage="0" equalAverage="0" bottom="0" percent="0" rank="0" text="" dxfId="12">
      <formula>AND(ISNUMBER(E47),E47=$L$47)</formula>
    </cfRule>
  </conditionalFormatting>
  <conditionalFormatting sqref="E48:K48">
    <cfRule type="expression" priority="45" aboveAverage="0" equalAverage="0" bottom="0" percent="0" rank="0" text="" dxfId="12">
      <formula>AND(ISNUMBER(E48),E48=$L$48)</formula>
    </cfRule>
  </conditionalFormatting>
  <conditionalFormatting sqref="E49:K49">
    <cfRule type="expression" priority="46" aboveAverage="0" equalAverage="0" bottom="0" percent="0" rank="0" text="" dxfId="12">
      <formula>AND(ISNUMBER(E49),E49=$L$49)</formula>
    </cfRule>
  </conditionalFormatting>
  <conditionalFormatting sqref="E50:K50">
    <cfRule type="expression" priority="47" aboveAverage="0" equalAverage="0" bottom="0" percent="0" rank="0" text="" dxfId="12">
      <formula>AND(ISNUMBER(E50),E50=$L$50)</formula>
    </cfRule>
  </conditionalFormatting>
  <conditionalFormatting sqref="E51:K51">
    <cfRule type="expression" priority="48" aboveAverage="0" equalAverage="0" bottom="0" percent="0" rank="0" text="" dxfId="12">
      <formula>AND(ISNUMBER(E51),E51=$L$51)</formula>
    </cfRule>
  </conditionalFormatting>
  <conditionalFormatting sqref="E52:K52">
    <cfRule type="expression" priority="49" aboveAverage="0" equalAverage="0" bottom="0" percent="0" rank="0" text="" dxfId="12">
      <formula>AND(ISNUMBER(E52),E52=$L$52)</formula>
    </cfRule>
  </conditionalFormatting>
  <conditionalFormatting sqref="E53:K53">
    <cfRule type="expression" priority="50" aboveAverage="0" equalAverage="0" bottom="0" percent="0" rank="0" text="" dxfId="12">
      <formula>AND(ISNUMBER(E53),E53=$L$53)</formula>
    </cfRule>
  </conditionalFormatting>
  <conditionalFormatting sqref="E54:K54">
    <cfRule type="expression" priority="51" aboveAverage="0" equalAverage="0" bottom="0" percent="0" rank="0" text="" dxfId="12">
      <formula>AND(ISNUMBER(E54),E54=$L$54)</formula>
    </cfRule>
  </conditionalFormatting>
  <conditionalFormatting sqref="E55:K55">
    <cfRule type="expression" priority="52" aboveAverage="0" equalAverage="0" bottom="0" percent="0" rank="0" text="" dxfId="12">
      <formula>AND(ISNUMBER(E55),E55=$L$55)</formula>
    </cfRule>
  </conditionalFormatting>
  <conditionalFormatting sqref="E56:K56">
    <cfRule type="expression" priority="53" aboveAverage="0" equalAverage="0" bottom="0" percent="0" rank="0" text="" dxfId="12">
      <formula>AND(ISNUMBER(E56),E56=$L$56)</formula>
    </cfRule>
  </conditionalFormatting>
  <conditionalFormatting sqref="E57:K57">
    <cfRule type="expression" priority="54" aboveAverage="0" equalAverage="0" bottom="0" percent="0" rank="0" text="" dxfId="12">
      <formula>AND(ISNUMBER(E57),E57=$L$57)</formula>
    </cfRule>
  </conditionalFormatting>
  <conditionalFormatting sqref="E58:K58">
    <cfRule type="expression" priority="55" aboveAverage="0" equalAverage="0" bottom="0" percent="0" rank="0" text="" dxfId="12">
      <formula>AND(ISNUMBER(E58),E58=$L$58)</formula>
    </cfRule>
  </conditionalFormatting>
  <conditionalFormatting sqref="E59:K59">
    <cfRule type="expression" priority="56" aboveAverage="0" equalAverage="0" bottom="0" percent="0" rank="0" text="" dxfId="12">
      <formula>AND(ISNUMBER(E59),E59=$L$59)</formula>
    </cfRule>
  </conditionalFormatting>
  <conditionalFormatting sqref="E60:K60">
    <cfRule type="expression" priority="57" aboveAverage="0" equalAverage="0" bottom="0" percent="0" rank="0" text="" dxfId="12">
      <formula>AND(ISNUMBER(E60),E60=$L$60)</formula>
    </cfRule>
  </conditionalFormatting>
  <conditionalFormatting sqref="E61:K61">
    <cfRule type="expression" priority="58" aboveAverage="0" equalAverage="0" bottom="0" percent="0" rank="0" text="" dxfId="12">
      <formula>AND(ISNUMBER(E61),E61=$L$61)</formula>
    </cfRule>
  </conditionalFormatting>
  <conditionalFormatting sqref="E62:K62">
    <cfRule type="expression" priority="59" aboveAverage="0" equalAverage="0" bottom="0" percent="0" rank="0" text="" dxfId="12">
      <formula>AND(ISNUMBER(E62),E62=$L$62)</formula>
    </cfRule>
  </conditionalFormatting>
  <conditionalFormatting sqref="E63:K63">
    <cfRule type="expression" priority="60" aboveAverage="0" equalAverage="0" bottom="0" percent="0" rank="0" text="" dxfId="12">
      <formula>AND(ISNUMBER(E63),E63=$L$63)</formula>
    </cfRule>
  </conditionalFormatting>
  <conditionalFormatting sqref="E64:K64">
    <cfRule type="expression" priority="61" aboveAverage="0" equalAverage="0" bottom="0" percent="0" rank="0" text="" dxfId="12">
      <formula>AND(ISNUMBER(E64),E64=$L$64)</formula>
    </cfRule>
  </conditionalFormatting>
  <conditionalFormatting sqref="E65:K65">
    <cfRule type="expression" priority="62" aboveAverage="0" equalAverage="0" bottom="0" percent="0" rank="0" text="" dxfId="12">
      <formula>AND(ISNUMBER(E65),E65=$L$65)</formula>
    </cfRule>
  </conditionalFormatting>
  <conditionalFormatting sqref="E66:K66">
    <cfRule type="expression" priority="63" aboveAverage="0" equalAverage="0" bottom="0" percent="0" rank="0" text="" dxfId="12">
      <formula>AND(ISNUMBER(E66),E66=$L$66)</formula>
    </cfRule>
  </conditionalFormatting>
  <conditionalFormatting sqref="E67:K67">
    <cfRule type="expression" priority="64" aboveAverage="0" equalAverage="0" bottom="0" percent="0" rank="0" text="" dxfId="12">
      <formula>AND(ISNUMBER(E67),E67=$L$67)</formula>
    </cfRule>
  </conditionalFormatting>
  <conditionalFormatting sqref="E68:K68">
    <cfRule type="expression" priority="65" aboveAverage="0" equalAverage="0" bottom="0" percent="0" rank="0" text="" dxfId="12">
      <formula>AND(ISNUMBER(E68),E68=$L$68)</formula>
    </cfRule>
  </conditionalFormatting>
  <conditionalFormatting sqref="E69:K69">
    <cfRule type="expression" priority="66" aboveAverage="0" equalAverage="0" bottom="0" percent="0" rank="0" text="" dxfId="12">
      <formula>AND(ISNUMBER(E69),E69=$L$69)</formula>
    </cfRule>
  </conditionalFormatting>
  <conditionalFormatting sqref="E70:K70">
    <cfRule type="expression" priority="67" aboveAverage="0" equalAverage="0" bottom="0" percent="0" rank="0" text="" dxfId="12">
      <formula>AND(ISNUMBER(E70),E70=$L$70)</formula>
    </cfRule>
  </conditionalFormatting>
  <conditionalFormatting sqref="E71:K71">
    <cfRule type="expression" priority="68" aboveAverage="0" equalAverage="0" bottom="0" percent="0" rank="0" text="" dxfId="12">
      <formula>AND(ISNUMBER(E71),E71=$L$71)</formula>
    </cfRule>
  </conditionalFormatting>
  <conditionalFormatting sqref="E72:K72">
    <cfRule type="expression" priority="69" aboveAverage="0" equalAverage="0" bottom="0" percent="0" rank="0" text="" dxfId="12">
      <formula>AND(ISNUMBER(E72),E72=$L$72)</formula>
    </cfRule>
  </conditionalFormatting>
  <conditionalFormatting sqref="E73:K73">
    <cfRule type="expression" priority="70" aboveAverage="0" equalAverage="0" bottom="0" percent="0" rank="0" text="" dxfId="12">
      <formula>AND(ISNUMBER(E73),E73=$L$73)</formula>
    </cfRule>
  </conditionalFormatting>
  <conditionalFormatting sqref="E74:K74">
    <cfRule type="expression" priority="71" aboveAverage="0" equalAverage="0" bottom="0" percent="0" rank="0" text="" dxfId="12">
      <formula>AND(ISNUMBER(E74),E74=$L$74)</formula>
    </cfRule>
  </conditionalFormatting>
  <conditionalFormatting sqref="E75:K75">
    <cfRule type="expression" priority="72" aboveAverage="0" equalAverage="0" bottom="0" percent="0" rank="0" text="" dxfId="12">
      <formula>AND(ISNUMBER(E75),E75=$L$75)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25"/>
    <pageSetUpPr fitToPage="true"/>
  </sheetPr>
  <dimension ref="A1:P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5" min="13" style="0" width="7"/>
    <col collapsed="false" customWidth="true" hidden="false" outlineLevel="0" max="16" min="16" style="0" width="30"/>
  </cols>
  <sheetData>
    <row r="1" customFormat="false" ht="19.7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42" hidden="false" customHeight="true" outlineLevel="0" collapsed="false">
      <c r="A4" s="6" t="s">
        <v>44</v>
      </c>
      <c r="B4" s="6" t="s">
        <v>219</v>
      </c>
      <c r="C4" s="6" t="s">
        <v>220</v>
      </c>
      <c r="D4" s="6" t="s">
        <v>221</v>
      </c>
      <c r="E4" s="6" t="s">
        <v>53</v>
      </c>
      <c r="F4" s="6" t="s">
        <v>5</v>
      </c>
      <c r="G4" s="6" t="s">
        <v>222</v>
      </c>
      <c r="H4" s="6" t="s">
        <v>223</v>
      </c>
      <c r="I4" s="6" t="s">
        <v>224</v>
      </c>
      <c r="J4" s="6" t="s">
        <v>225</v>
      </c>
      <c r="K4" s="6" t="s">
        <v>63</v>
      </c>
      <c r="L4" s="6" t="s">
        <v>226</v>
      </c>
      <c r="M4" s="6" t="s">
        <v>69</v>
      </c>
      <c r="N4" s="6" t="s">
        <v>70</v>
      </c>
      <c r="O4" s="6" t="s">
        <v>71</v>
      </c>
      <c r="P4" s="6" t="s">
        <v>31</v>
      </c>
    </row>
    <row r="5" customFormat="false" ht="23.85" hidden="false" customHeight="false" outlineLevel="0" collapsed="false">
      <c r="A5" s="15" t="n">
        <v>1</v>
      </c>
      <c r="B5" s="17" t="n">
        <v>46375</v>
      </c>
      <c r="C5" s="5" t="s">
        <v>227</v>
      </c>
      <c r="D5" s="16" t="s">
        <v>228</v>
      </c>
      <c r="E5" s="16" t="s">
        <v>148</v>
      </c>
      <c r="F5" s="16" t="s">
        <v>13</v>
      </c>
      <c r="G5" s="10" t="n">
        <v>2725</v>
      </c>
      <c r="H5" s="16" t="s">
        <v>229</v>
      </c>
      <c r="I5" s="16" t="n">
        <v>1</v>
      </c>
      <c r="J5" s="18" t="n">
        <f aca="false">IF(G5="","",IFERROR(G5*INDEX(Trip!$E$5:$E$14,MATCH(F5,Trip!$D$5:$D$14,0))/INDEX(Trip!$E$5:$E$14,MATCH(Trip!$B$10,Trip!$D$5:$D$14,0))*IF(H5="Per pax",I5,1),""))</f>
        <v>2725</v>
      </c>
      <c r="K5" s="20" t="n">
        <v>0.1017</v>
      </c>
      <c r="L5" s="18" t="n">
        <f aca="false">IF(J5="","",J5*(1+IF(K5="",Trip!$B$11,K5)))</f>
        <v>3002.1325</v>
      </c>
      <c r="M5" s="16"/>
      <c r="N5" s="16"/>
      <c r="O5" s="16"/>
      <c r="P5" s="16"/>
    </row>
    <row r="6" customFormat="false" ht="23.85" hidden="false" customHeight="false" outlineLevel="0" collapsed="false">
      <c r="A6" s="15" t="n">
        <v>2</v>
      </c>
      <c r="B6" s="17" t="n">
        <v>46375</v>
      </c>
      <c r="C6" s="5" t="s">
        <v>230</v>
      </c>
      <c r="D6" s="16" t="s">
        <v>228</v>
      </c>
      <c r="E6" s="16" t="s">
        <v>148</v>
      </c>
      <c r="F6" s="16" t="s">
        <v>13</v>
      </c>
      <c r="G6" s="10" t="n">
        <v>2695</v>
      </c>
      <c r="H6" s="16" t="s">
        <v>229</v>
      </c>
      <c r="I6" s="16" t="n">
        <v>1</v>
      </c>
      <c r="J6" s="18" t="n">
        <f aca="false">IF(G6="","",IFERROR(G6*INDEX(Trip!$E$5:$E$14,MATCH(F6,Trip!$D$5:$D$14,0))/INDEX(Trip!$E$5:$E$14,MATCH(Trip!$B$10,Trip!$D$5:$D$14,0))*IF(H6="Per pax",I6,1),""))</f>
        <v>2695</v>
      </c>
      <c r="K6" s="20" t="n">
        <v>0.1013</v>
      </c>
      <c r="L6" s="18" t="n">
        <f aca="false">IF(J6="","",J6*(1+IF(K6="",Trip!$B$11,K6)))</f>
        <v>2968.0035</v>
      </c>
      <c r="M6" s="16"/>
      <c r="N6" s="16"/>
      <c r="O6" s="16"/>
      <c r="P6" s="16"/>
    </row>
    <row r="7" customFormat="false" ht="15" hidden="false" customHeight="false" outlineLevel="0" collapsed="false">
      <c r="A7" s="15" t="n">
        <v>3</v>
      </c>
      <c r="B7" s="17" t="n">
        <v>46375</v>
      </c>
      <c r="C7" s="5" t="s">
        <v>231</v>
      </c>
      <c r="D7" s="16" t="s">
        <v>228</v>
      </c>
      <c r="E7" s="16" t="s">
        <v>148</v>
      </c>
      <c r="F7" s="16" t="s">
        <v>13</v>
      </c>
      <c r="G7" s="10" t="n">
        <v>2535</v>
      </c>
      <c r="H7" s="16" t="s">
        <v>229</v>
      </c>
      <c r="I7" s="16" t="n">
        <v>1</v>
      </c>
      <c r="J7" s="18" t="n">
        <f aca="false">IF(G7="","",IFERROR(G7*INDEX(Trip!$E$5:$E$14,MATCH(F7,Trip!$D$5:$D$14,0))/INDEX(Trip!$E$5:$E$14,MATCH(Trip!$B$10,Trip!$D$5:$D$14,0))*IF(H7="Per pax",I7,1),""))</f>
        <v>2535</v>
      </c>
      <c r="K7" s="20" t="n">
        <v>0.13</v>
      </c>
      <c r="L7" s="18" t="n">
        <f aca="false">IF(J7="","",J7*(1+IF(K7="",Trip!$B$11,K7)))</f>
        <v>2864.55</v>
      </c>
      <c r="M7" s="16"/>
      <c r="N7" s="16"/>
      <c r="O7" s="16"/>
      <c r="P7" s="16"/>
    </row>
    <row r="8" customFormat="false" ht="15" hidden="false" customHeight="false" outlineLevel="0" collapsed="false">
      <c r="A8" s="15" t="n">
        <v>4</v>
      </c>
      <c r="B8" s="17" t="n">
        <v>46381</v>
      </c>
      <c r="C8" s="5" t="s">
        <v>232</v>
      </c>
      <c r="D8" s="16" t="s">
        <v>233</v>
      </c>
      <c r="E8" s="16" t="s">
        <v>234</v>
      </c>
      <c r="F8" s="16" t="s">
        <v>13</v>
      </c>
      <c r="G8" s="10" t="n">
        <v>30</v>
      </c>
      <c r="H8" s="16" t="s">
        <v>235</v>
      </c>
      <c r="I8" s="16" t="n">
        <v>9</v>
      </c>
      <c r="J8" s="18" t="n">
        <f aca="false">IF(G8="","",IFERROR(G8*INDEX(Trip!$E$5:$E$14,MATCH(F8,Trip!$D$5:$D$14,0))/INDEX(Trip!$E$5:$E$14,MATCH(Trip!$B$10,Trip!$D$5:$D$14,0))*IF(H8="Per pax",I8,1),""))</f>
        <v>270</v>
      </c>
      <c r="K8" s="20" t="n">
        <v>0.15</v>
      </c>
      <c r="L8" s="18" t="n">
        <f aca="false">IF(J8="","",J8*(1+IF(K8="",Trip!$B$11,K8)))</f>
        <v>310.5</v>
      </c>
      <c r="M8" s="16"/>
      <c r="N8" s="16"/>
      <c r="O8" s="16"/>
      <c r="P8" s="16"/>
    </row>
  </sheetData>
  <conditionalFormatting sqref="G5:G204">
    <cfRule type="expression" priority="2" aboveAverage="0" equalAverage="0" bottom="0" percent="0" rank="0" text="" dxfId="15">
      <formula>AND(G5&lt;&gt;"",J5="")</formula>
    </cfRule>
  </conditionalFormatting>
  <conditionalFormatting sqref="M5:O204">
    <cfRule type="cellIs" priority="3" operator="equal" aboveAverage="0" equalAverage="0" bottom="0" percent="0" rank="0" text="" dxfId="19">
      <formula>"Y"</formula>
    </cfRule>
  </conditionalFormatting>
  <dataValidations count="5">
    <dataValidation allowBlank="true" errorStyle="stop" operator="between" showDropDown="false" showErrorMessage="false" showInputMessage="false" sqref="E5:E204" type="list">
      <formula1>Lists!$A$2:$A$30</formula1>
      <formula2>0</formula2>
    </dataValidation>
    <dataValidation allowBlank="true" errorStyle="stop" operator="between" showDropDown="false" showErrorMessage="false" showInputMessage="false" sqref="D5:D204" type="list">
      <formula1>Lists!$D$2:$D$20</formula1>
      <formula2>0</formula2>
    </dataValidation>
    <dataValidation allowBlank="true" errorStyle="stop" operator="between" showDropDown="false" showErrorMessage="false" showInputMessage="false" sqref="H5:H204" type="list">
      <formula1>Lists!$E$2:$E$3</formula1>
      <formula2>0</formula2>
    </dataValidation>
    <dataValidation allowBlank="true" errorStyle="stop" operator="between" showDropDown="false" showErrorMessage="false" showInputMessage="false" sqref="F5:F204" type="list">
      <formula1>Trip!$D$5:$D$14</formula1>
      <formula2>0</formula2>
    </dataValidation>
    <dataValidation allowBlank="true" errorStyle="stop" operator="between" showDropDown="false" showErrorMessage="false" showInputMessage="false" sqref="M5:O204" type="list">
      <formula1>Lists!$F$2:$F$2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2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" t="s">
        <v>236</v>
      </c>
    </row>
    <row r="2" customFormat="false" ht="15" hidden="false" customHeight="false" outlineLevel="0" collapsed="false">
      <c r="A2" s="2" t="s">
        <v>237</v>
      </c>
    </row>
    <row r="4" customFormat="false" ht="42" hidden="false" customHeight="true" outlineLevel="0" collapsed="false">
      <c r="A4" s="6"/>
      <c r="B4" s="6" t="s">
        <v>69</v>
      </c>
      <c r="C4" s="6" t="s">
        <v>70</v>
      </c>
      <c r="D4" s="6" t="s">
        <v>71</v>
      </c>
      <c r="E4" s="6" t="s">
        <v>238</v>
      </c>
    </row>
    <row r="5" customFormat="false" ht="15" hidden="false" customHeight="false" outlineLevel="0" collapsed="false">
      <c r="A5" s="4" t="s">
        <v>239</v>
      </c>
      <c r="B5" s="27" t="s">
        <v>240</v>
      </c>
      <c r="C5" s="27" t="s">
        <v>241</v>
      </c>
      <c r="D5" s="27" t="s">
        <v>242</v>
      </c>
      <c r="E5" s="9" t="s">
        <v>243</v>
      </c>
    </row>
    <row r="6" customFormat="false" ht="15" hidden="false" customHeight="false" outlineLevel="0" collapsed="false">
      <c r="A6" s="4" t="s">
        <v>244</v>
      </c>
      <c r="B6" s="28" t="n">
        <v>2</v>
      </c>
      <c r="C6" s="28" t="n">
        <v>1</v>
      </c>
      <c r="D6" s="28" t="n">
        <v>2</v>
      </c>
      <c r="E6" s="9" t="s">
        <v>245</v>
      </c>
    </row>
    <row r="7" customFormat="false" ht="39.75" hidden="false" customHeight="true" outlineLevel="0" collapsed="false">
      <c r="A7" s="4" t="s">
        <v>246</v>
      </c>
      <c r="B7" s="27" t="s">
        <v>247</v>
      </c>
      <c r="C7" s="27" t="s">
        <v>247</v>
      </c>
      <c r="D7" s="27" t="s">
        <v>247</v>
      </c>
      <c r="E7" s="29" t="s">
        <v>248</v>
      </c>
    </row>
    <row r="8" customFormat="false" ht="15" hidden="false" customHeight="false" outlineLevel="0" collapsed="false">
      <c r="A8" s="4" t="s">
        <v>249</v>
      </c>
      <c r="B8" s="30" t="n">
        <f aca="false">IF(B7="All rooms",SUMIFS(Quotes!$O$5:$O$604,Quotes!$AA$5:$AA$604,"Y"),SUMIFS(Quotes!$M$5:$M$604,Quotes!$AA$5:$AA$604,"Y"))</f>
        <v>2535.01060445387</v>
      </c>
      <c r="C8" s="30" t="n">
        <f aca="false">IF(C7="All rooms",SUMIFS(Quotes!$O$5:$O$604,Quotes!$AB$5:$AB$604,"Y"),SUMIFS(Quotes!$M$5:$M$604,Quotes!$AB$5:$AB$604,"Y"))</f>
        <v>2437.44060445387</v>
      </c>
      <c r="D8" s="30" t="n">
        <f aca="false">IF(D7="All rooms",SUMIFS(Quotes!$O$5:$O$604,Quotes!$AC$5:$AC$604,"Y"),SUMIFS(Quotes!$M$5:$M$604,Quotes!$AC$5:$AC$604,"Y"))</f>
        <v>2844.06060445387</v>
      </c>
      <c r="E8" s="9" t="s">
        <v>250</v>
      </c>
    </row>
    <row r="9" customFormat="false" ht="15" hidden="false" customHeight="false" outlineLevel="0" collapsed="false">
      <c r="A9" s="4" t="s">
        <v>251</v>
      </c>
      <c r="B9" s="30" t="n">
        <f aca="false">SUMIFS(Land!$J$5:$J$204,Land!$M$5:$M$204,"Y")</f>
        <v>0</v>
      </c>
      <c r="C9" s="30" t="n">
        <f aca="false">SUMIFS(Land!$J$5:$J$204,Land!$N$5:$N$204,"Y")</f>
        <v>0</v>
      </c>
      <c r="D9" s="30" t="n">
        <f aca="false">SUMIFS(Land!$J$5:$J$204,Land!$O$5:$O$204,"Y")</f>
        <v>0</v>
      </c>
      <c r="E9" s="9" t="s">
        <v>252</v>
      </c>
    </row>
    <row r="10" customFormat="false" ht="15" hidden="false" customHeight="false" outlineLevel="0" collapsed="false">
      <c r="A10" s="4" t="s">
        <v>253</v>
      </c>
      <c r="B10" s="31" t="n">
        <f aca="false">B8+B9</f>
        <v>2535.01060445387</v>
      </c>
      <c r="C10" s="31" t="n">
        <f aca="false">C8+C9</f>
        <v>2437.44060445387</v>
      </c>
      <c r="D10" s="31" t="n">
        <f aca="false">D8+D9</f>
        <v>2844.06060445387</v>
      </c>
      <c r="E10" s="9" t="s">
        <v>254</v>
      </c>
    </row>
    <row r="11" customFormat="false" ht="15" hidden="false" customHeight="false" outlineLevel="0" collapsed="false">
      <c r="A11" s="4" t="s">
        <v>255</v>
      </c>
      <c r="B11" s="30" t="n">
        <f aca="false">IF(B7="All rooms",SUMIFS(Quotes!$W$5:$W$604,Quotes!$AA$5:$AA$604,"Y"),SUMIFS(Quotes!$V$5:$V$604,Quotes!$AA$5:$AA$604,"Y"))+SUMIFS(Land!$L$5:$L$204,Land!$M$5:$M$204,"Y")-B10</f>
        <v>577.971600954401</v>
      </c>
      <c r="C11" s="30" t="n">
        <f aca="false">IF(C7="All rooms",SUMIFS(Quotes!$W$5:$W$604,Quotes!$AB$5:$AB$604,"Y"),SUMIFS(Quotes!$V$5:$V$604,Quotes!$AB$5:$AB$604,"Y"))+SUMIFS(Land!$L$5:$L$204,Land!$N$5:$N$204,"Y")-C10</f>
        <v>580.502098954401</v>
      </c>
      <c r="D11" s="30" t="n">
        <f aca="false">IF(D7="All rooms",SUMIFS(Quotes!$W$5:$W$604,Quotes!$AC$5:$AC$604,"Y"),SUMIFS(Quotes!$V$5:$V$604,Quotes!$AC$5:$AC$604,"Y"))+SUMIFS(Land!$L$5:$L$204,Land!$O$5:$O$204,"Y")-D10</f>
        <v>474.932635954401</v>
      </c>
      <c r="E11" s="9" t="s">
        <v>256</v>
      </c>
    </row>
    <row r="12" customFormat="false" ht="15" hidden="false" customHeight="false" outlineLevel="0" collapsed="false">
      <c r="A12" s="4" t="s">
        <v>257</v>
      </c>
      <c r="B12" s="31" t="n">
        <f aca="false">B10+B11</f>
        <v>3112.98220540827</v>
      </c>
      <c r="C12" s="31" t="n">
        <f aca="false">C10+C11</f>
        <v>3017.94270340827</v>
      </c>
      <c r="D12" s="31" t="n">
        <f aca="false">D10+D11</f>
        <v>3318.99324040827</v>
      </c>
      <c r="E12" s="9" t="s">
        <v>258</v>
      </c>
    </row>
    <row r="13" customFormat="false" ht="15" hidden="false" customHeight="false" outlineLevel="0" collapsed="false">
      <c r="A13" s="4" t="s">
        <v>259</v>
      </c>
      <c r="B13" s="30" t="n">
        <f aca="false">B12*Trip!$B$12</f>
        <v>155.649110270414</v>
      </c>
      <c r="C13" s="30" t="n">
        <f aca="false">C12*Trip!$B$12</f>
        <v>150.897135170414</v>
      </c>
      <c r="D13" s="30" t="n">
        <f aca="false">D12*Trip!$B$12</f>
        <v>165.949662020414</v>
      </c>
      <c r="E13" s="9" t="s">
        <v>260</v>
      </c>
    </row>
    <row r="14" customFormat="false" ht="15" hidden="false" customHeight="false" outlineLevel="0" collapsed="false">
      <c r="A14" s="4" t="s">
        <v>261</v>
      </c>
      <c r="B14" s="30" t="n">
        <f aca="false">(B12+B13)*Trip!$B$13</f>
        <v>65.3726263135737</v>
      </c>
      <c r="C14" s="30" t="n">
        <f aca="false">(C12+C13)*Trip!$B$13</f>
        <v>63.3767967715737</v>
      </c>
      <c r="D14" s="30" t="n">
        <f aca="false">(D12+D13)*Trip!$B$13</f>
        <v>69.6988580485737</v>
      </c>
      <c r="E14" s="9" t="s">
        <v>262</v>
      </c>
    </row>
    <row r="15" customFormat="false" ht="15" hidden="false" customHeight="false" outlineLevel="0" collapsed="false">
      <c r="A15" s="4" t="s">
        <v>263</v>
      </c>
      <c r="B15" s="31" t="n">
        <f aca="false">B12+B13+B14</f>
        <v>3334.00394199226</v>
      </c>
      <c r="C15" s="31" t="n">
        <f aca="false">C12+C13+C14</f>
        <v>3232.21663535026</v>
      </c>
      <c r="D15" s="31" t="n">
        <f aca="false">D12+D13+D14</f>
        <v>3554.64176047726</v>
      </c>
      <c r="E15" s="9" t="s">
        <v>264</v>
      </c>
    </row>
    <row r="16" customFormat="false" ht="15" hidden="false" customHeight="false" outlineLevel="0" collapsed="false">
      <c r="A16" s="4" t="s">
        <v>265</v>
      </c>
      <c r="B16" s="32" t="n">
        <f aca="false">IFERROR(INDEX(Trip!$E$5:$E$14,MATCH(Trip!$B$10,Trip!$D$5:$D$14,0)),0)</f>
        <v>94.3</v>
      </c>
      <c r="C16" s="32" t="n">
        <f aca="false">IFERROR(INDEX(Trip!$E$5:$E$14,MATCH(Trip!$B$10,Trip!$D$5:$D$14,0)),0)</f>
        <v>94.3</v>
      </c>
      <c r="D16" s="32" t="n">
        <f aca="false">IFERROR(INDEX(Trip!$E$5:$E$14,MATCH(Trip!$B$10,Trip!$D$5:$D$14,0)),0)</f>
        <v>94.3</v>
      </c>
      <c r="E16" s="9" t="s">
        <v>266</v>
      </c>
    </row>
    <row r="17" customFormat="false" ht="15" hidden="false" customHeight="false" outlineLevel="0" collapsed="false">
      <c r="A17" s="4" t="s">
        <v>267</v>
      </c>
      <c r="B17" s="33" t="n">
        <f aca="false">B15*B16</f>
        <v>314396.57172987</v>
      </c>
      <c r="C17" s="33" t="n">
        <f aca="false">C15*C16</f>
        <v>304798.028713529</v>
      </c>
      <c r="D17" s="33" t="n">
        <f aca="false">D15*D16</f>
        <v>335202.718013006</v>
      </c>
      <c r="E17" s="9" t="s">
        <v>268</v>
      </c>
    </row>
    <row r="18" customFormat="false" ht="15" hidden="false" customHeight="false" outlineLevel="0" collapsed="false">
      <c r="A18" s="4" t="s">
        <v>269</v>
      </c>
      <c r="B18" s="34" t="n">
        <f aca="false">ROUNDUP(B17,-2)</f>
        <v>314400</v>
      </c>
      <c r="C18" s="34" t="n">
        <f aca="false">ROUNDUP(C17,-2)</f>
        <v>304800</v>
      </c>
      <c r="D18" s="34" t="n">
        <f aca="false">ROUNDUP(D17,-2)</f>
        <v>335300</v>
      </c>
      <c r="E18" s="9" t="s">
        <v>270</v>
      </c>
    </row>
    <row r="19" customFormat="false" ht="15" hidden="false" customHeight="false" outlineLevel="0" collapsed="false">
      <c r="A19" s="4" t="s">
        <v>271</v>
      </c>
      <c r="B19" s="34" t="n">
        <f aca="false">IF(B6&gt;0,B18/B6,"")</f>
        <v>157200</v>
      </c>
      <c r="C19" s="34" t="n">
        <f aca="false">IF(C6&gt;0,C18/C6,"")</f>
        <v>304800</v>
      </c>
      <c r="D19" s="34" t="n">
        <f aca="false">IF(D6&gt;0,D18/D6,"")</f>
        <v>167650</v>
      </c>
      <c r="E19" s="9" t="s">
        <v>272</v>
      </c>
    </row>
    <row r="20" customFormat="false" ht="15" hidden="false" customHeight="false" outlineLevel="0" collapsed="false">
      <c r="A20" s="4" t="s">
        <v>273</v>
      </c>
      <c r="B20" s="35" t="n">
        <f aca="false">IF(B10&gt;0,B11/B10,"")</f>
        <v>0.227995733011506</v>
      </c>
      <c r="C20" s="35" t="n">
        <f aca="false">IF(C10&gt;0,C11/C10,"")</f>
        <v>0.238160510616614</v>
      </c>
      <c r="D20" s="35" t="n">
        <f aca="false">IF(D10&gt;0,D11/D10,"")</f>
        <v>0.166991039224215</v>
      </c>
      <c r="E20" s="9" t="s">
        <v>274</v>
      </c>
    </row>
    <row r="21" customFormat="false" ht="15" hidden="false" customHeight="false" outlineLevel="0" collapsed="false">
      <c r="A21" s="4" t="s">
        <v>275</v>
      </c>
      <c r="B21" s="36" t="n">
        <f aca="false">IF(COUNTIFS(Quotes!$AA$5:$AA$604,"Y",Quotes!$P$5:$P$604,"&gt;0")=0,"—",_xlfn.MINIFS(Quotes!$P$5:$P$604,Quotes!$AA$5:$AA$604,"Y"))</f>
        <v>46287</v>
      </c>
      <c r="C21" s="36" t="n">
        <f aca="false">IF(COUNTIFS(Quotes!$AB$5:$AB$604,"Y",Quotes!$P$5:$P$604,"&gt;0")=0,"—",_xlfn.MINIFS(Quotes!$P$5:$P$604,Quotes!$AB$5:$AB$604,"Y"))</f>
        <v>46287</v>
      </c>
      <c r="D21" s="36" t="n">
        <f aca="false">IF(COUNTIFS(Quotes!$AC$5:$AC$604,"Y",Quotes!$P$5:$P$604,"&gt;0")=0,"—",_xlfn.MINIFS(Quotes!$P$5:$P$604,Quotes!$AC$5:$AC$604,"Y"))</f>
        <v>46287</v>
      </c>
      <c r="E21" s="9" t="s">
        <v>276</v>
      </c>
    </row>
    <row r="22" customFormat="false" ht="15" hidden="false" customHeight="false" outlineLevel="0" collapsed="false">
      <c r="A22" s="4" t="s">
        <v>277</v>
      </c>
      <c r="B22" s="37" t="str">
        <f aca="false">COUNTIF(Quotes!$AA$5:$AA$604,"Y")&amp;" / "&amp;COUNTIF(Land!$M$5:$M$204,"Y")</f>
        <v>5 / 0</v>
      </c>
      <c r="C22" s="37" t="str">
        <f aca="false">COUNTIF(Quotes!$AB$5:$AB$604,"Y")&amp;" / "&amp;COUNTIF(Land!$N$5:$N$204,"Y")</f>
        <v>5 / 0</v>
      </c>
      <c r="D22" s="37" t="str">
        <f aca="false">COUNTIF(Quotes!$AC$5:$AC$604,"Y")&amp;" / "&amp;COUNTIF(Land!$O$5:$O$204,"Y")</f>
        <v>5 / 0</v>
      </c>
      <c r="E22" s="9" t="s">
        <v>278</v>
      </c>
    </row>
    <row r="24" customFormat="false" ht="15" hidden="false" customHeight="false" outlineLevel="0" collapsed="false">
      <c r="A24" s="38" t="s">
        <v>279</v>
      </c>
      <c r="B24" s="39" t="str">
        <f aca="false">Trip!$B$10</f>
        <v>USD</v>
      </c>
    </row>
  </sheetData>
  <dataValidations count="1">
    <dataValidation allowBlank="false" errorStyle="stop" operator="between" showDropDown="false" showErrorMessage="false" showInputMessage="false" sqref="B7:D7" type="list">
      <formula1>"Per room,All rooms"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8" t="s">
        <v>280</v>
      </c>
      <c r="B1" s="38" t="s">
        <v>51</v>
      </c>
      <c r="C1" s="38" t="s">
        <v>60</v>
      </c>
      <c r="D1" s="38" t="s">
        <v>281</v>
      </c>
      <c r="E1" s="38" t="s">
        <v>223</v>
      </c>
      <c r="F1" s="38" t="s">
        <v>282</v>
      </c>
    </row>
    <row r="2" customFormat="false" ht="15" hidden="false" customHeight="false" outlineLevel="0" collapsed="false">
      <c r="A2" s="40" t="s">
        <v>76</v>
      </c>
      <c r="B2" s="40" t="s">
        <v>283</v>
      </c>
      <c r="C2" s="40" t="s">
        <v>77</v>
      </c>
      <c r="D2" s="40" t="s">
        <v>228</v>
      </c>
      <c r="E2" s="40" t="s">
        <v>229</v>
      </c>
      <c r="F2" s="40" t="s">
        <v>92</v>
      </c>
    </row>
    <row r="3" customFormat="false" ht="15" hidden="false" customHeight="false" outlineLevel="0" collapsed="false">
      <c r="A3" s="40" t="s">
        <v>135</v>
      </c>
      <c r="B3" s="40" t="s">
        <v>75</v>
      </c>
      <c r="C3" s="40" t="s">
        <v>284</v>
      </c>
      <c r="D3" s="40" t="s">
        <v>285</v>
      </c>
      <c r="E3" s="40" t="s">
        <v>235</v>
      </c>
    </row>
    <row r="4" customFormat="false" ht="15" hidden="false" customHeight="false" outlineLevel="0" collapsed="false">
      <c r="A4" s="40" t="s">
        <v>105</v>
      </c>
      <c r="B4" s="40" t="s">
        <v>104</v>
      </c>
      <c r="C4" s="40" t="s">
        <v>90</v>
      </c>
      <c r="D4" s="40" t="s">
        <v>286</v>
      </c>
    </row>
    <row r="5" customFormat="false" ht="15" hidden="false" customHeight="false" outlineLevel="0" collapsed="false">
      <c r="A5" s="40" t="s">
        <v>148</v>
      </c>
      <c r="B5" s="40" t="s">
        <v>287</v>
      </c>
      <c r="C5" s="40" t="s">
        <v>288</v>
      </c>
      <c r="D5" s="40" t="s">
        <v>289</v>
      </c>
    </row>
    <row r="6" customFormat="false" ht="15" hidden="false" customHeight="false" outlineLevel="0" collapsed="false">
      <c r="A6" s="40" t="s">
        <v>111</v>
      </c>
      <c r="B6" s="40" t="s">
        <v>117</v>
      </c>
      <c r="C6" s="40" t="s">
        <v>290</v>
      </c>
      <c r="D6" s="40" t="s">
        <v>233</v>
      </c>
    </row>
    <row r="7" customFormat="false" ht="15" hidden="false" customHeight="false" outlineLevel="0" collapsed="false">
      <c r="A7" s="40" t="s">
        <v>291</v>
      </c>
      <c r="B7" s="40" t="s">
        <v>209</v>
      </c>
      <c r="D7" s="40" t="s">
        <v>292</v>
      </c>
    </row>
    <row r="8" customFormat="false" ht="15" hidden="false" customHeight="false" outlineLevel="0" collapsed="false">
      <c r="A8" s="40" t="s">
        <v>78</v>
      </c>
      <c r="D8" s="40" t="s">
        <v>293</v>
      </c>
    </row>
    <row r="9" customFormat="false" ht="15" hidden="false" customHeight="false" outlineLevel="0" collapsed="false">
      <c r="A9" s="40" t="s">
        <v>101</v>
      </c>
      <c r="D9" s="40" t="s">
        <v>294</v>
      </c>
    </row>
    <row r="10" customFormat="false" ht="15" hidden="false" customHeight="false" outlineLevel="0" collapsed="false">
      <c r="A10" s="40" t="s">
        <v>295</v>
      </c>
      <c r="D10" s="40" t="s">
        <v>296</v>
      </c>
    </row>
    <row r="11" customFormat="false" ht="15" hidden="false" customHeight="false" outlineLevel="0" collapsed="false">
      <c r="A11" s="40" t="s">
        <v>297</v>
      </c>
      <c r="D11" s="40" t="s">
        <v>298</v>
      </c>
    </row>
    <row r="12" customFormat="false" ht="15" hidden="false" customHeight="false" outlineLevel="0" collapsed="false">
      <c r="A12" s="40" t="s">
        <v>299</v>
      </c>
      <c r="D12" s="40" t="s">
        <v>300</v>
      </c>
    </row>
    <row r="13" customFormat="false" ht="15" hidden="false" customHeight="false" outlineLevel="0" collapsed="false">
      <c r="A13" s="40" t="s">
        <v>301</v>
      </c>
    </row>
    <row r="14" customFormat="false" ht="15" hidden="false" customHeight="false" outlineLevel="0" collapsed="false">
      <c r="A14" s="40" t="s">
        <v>234</v>
      </c>
    </row>
    <row r="15" customFormat="false" ht="15" hidden="false" customHeight="false" outlineLevel="0" collapsed="false">
      <c r="A15" s="40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2026-10-07T08:39:43Z</dcterms:created>
  <dc:creator>openpyxl</dc:creator>
  <dc:description/>
  <dc:language>en-US</dc:language>
  <cp:lastModifiedBy/>
  <dcterms:modified xsi:type="dcterms:W3CDTF">2026-10-07T08:39:43Z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